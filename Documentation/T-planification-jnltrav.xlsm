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K:\INF\Eleves\Enseignement\ModulesProjet_NewOrdo\032-P_Dev\jonletourneur-thedipaola-jerdelisle\"/>
    </mc:Choice>
  </mc:AlternateContent>
  <bookViews>
    <workbookView xWindow="0" yWindow="0" windowWidth="28800" windowHeight="12240" activeTab="5"/>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6" r:id="rId6"/>
    <sheet name="Planning" sheetId="157"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6">Planning!$A$1:$D$14</definedName>
    <definedName name="objPlanifWeek">PlanificationWeek!$A$1:$D$14</definedName>
    <definedName name="objRealizedWeek" localSheetId="4">achievementWeek!$A$1:$D$19</definedName>
    <definedName name="objRealizedWeek" localSheetId="5">JNLTRAV!$A$1:$D$19</definedName>
    <definedName name="_xlnm.Print_Area" localSheetId="0">Donnees!$A$1:$G$47</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27" i="156" l="1"/>
  <c r="B223" i="157" l="1"/>
  <c r="B75" i="156"/>
  <c r="B209" i="157"/>
  <c r="B195" i="157"/>
  <c r="B181" i="157"/>
  <c r="B167" i="157"/>
  <c r="B153" i="157"/>
  <c r="B139" i="157"/>
  <c r="B125" i="157"/>
  <c r="B111" i="157"/>
  <c r="B97" i="157"/>
  <c r="B83" i="157"/>
  <c r="B69" i="157"/>
  <c r="B55" i="157"/>
  <c r="B41" i="157"/>
  <c r="B27" i="157"/>
  <c r="B13" i="157"/>
  <c r="D1" i="156"/>
  <c r="D20" i="156" s="1"/>
  <c r="D39" i="156" s="1"/>
  <c r="D58" i="156" s="1"/>
  <c r="D77" i="156" s="1"/>
  <c r="D96" i="156" s="1"/>
  <c r="D115" i="156" s="1"/>
  <c r="D134" i="156" s="1"/>
  <c r="D153" i="156" s="1"/>
  <c r="D172" i="156" s="1"/>
  <c r="D191" i="156" s="1"/>
  <c r="D210" i="156" s="1"/>
  <c r="D229" i="156" s="1"/>
  <c r="D248" i="156" s="1"/>
  <c r="D267" i="156" s="1"/>
  <c r="D287" i="156" s="1"/>
  <c r="B306" i="156"/>
  <c r="B285" i="156"/>
  <c r="B265" i="156"/>
  <c r="B246" i="156"/>
  <c r="B227" i="156"/>
  <c r="B208" i="156"/>
  <c r="B189" i="156"/>
  <c r="B170" i="156"/>
  <c r="B151" i="156"/>
  <c r="B132" i="156"/>
  <c r="B113" i="156"/>
  <c r="B94" i="156"/>
  <c r="B56" i="156"/>
  <c r="B37" i="156"/>
  <c r="B18" i="156"/>
  <c r="B18" i="154" l="1"/>
  <c r="B13" i="11" l="1"/>
</calcChain>
</file>

<file path=xl/sharedStrings.xml><?xml version="1.0" encoding="utf-8"?>
<sst xmlns="http://schemas.openxmlformats.org/spreadsheetml/2006/main" count="552" uniqueCount="138">
  <si>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</si>
  <si>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</si>
  <si>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</si>
  <si>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</si>
  <si>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</si>
  <si>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</si>
  <si>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</si>
  <si>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</si>
  <si>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</si>
  <si>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</si>
  <si>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</si>
  <si>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</si>
  <si>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</si>
  <si>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</si>
  <si>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</si>
  <si>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</si>
  <si>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</si>
  <si>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</si>
  <si>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</si>
  <si>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</si>
  <si>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</si>
  <si>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</si>
  <si>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</si>
  <si>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</si>
  <si>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P_Dev</t>
  </si>
  <si>
    <t>Grp2c</t>
  </si>
  <si>
    <t>ETML</t>
  </si>
  <si>
    <t>STOP</t>
  </si>
  <si>
    <t>Max. 48</t>
  </si>
  <si>
    <t>documentation</t>
  </si>
  <si>
    <t>journal du travail</t>
  </si>
  <si>
    <t>SpaceShip</t>
  </si>
  <si>
    <t>Bullet</t>
  </si>
  <si>
    <t>Level</t>
  </si>
  <si>
    <t>Enemy</t>
  </si>
  <si>
    <t>HighScore</t>
  </si>
  <si>
    <t>Control</t>
  </si>
  <si>
    <t>tests</t>
  </si>
  <si>
    <t>menu</t>
  </si>
  <si>
    <t>installateur</t>
  </si>
  <si>
    <t>autre</t>
  </si>
  <si>
    <t>Présentation du projet + création des groupes</t>
  </si>
  <si>
    <t>Mise en place de gitKraken ainsi que github</t>
  </si>
  <si>
    <t>mise en place du gitKraken (installation),du github,trello.</t>
  </si>
  <si>
    <t>lecture de la doc microsoft ainsi que tentative de réalisation de fichier test (réussi)</t>
  </si>
  <si>
    <t>doc microsoft</t>
  </si>
  <si>
    <t>Jour férier</t>
  </si>
  <si>
    <t>Mise en place du menu avec une police spécial pour "ETML", recherche de possibilité pour jouer de la music en même temps que le jeu(multi thread)</t>
  </si>
  <si>
    <t>Lecture de la documentation sur les test unitaires</t>
  </si>
  <si>
    <t>Recherche sur la façon de jouer de la musique lorsque l'on selectionne le bon menu, début de la mise en place du menu options</t>
  </si>
  <si>
    <t>remplissage du journal de travail</t>
  </si>
  <si>
    <t>Malade</t>
  </si>
  <si>
    <t>Renseignement pour la réalisation du projet et pour la création d'un système de "temp" pour gérer les déplacements</t>
  </si>
  <si>
    <t>ecran qui ne trouvais aucun signal -&gt; resolution: éteindre le pc et brancher le cable de l'écran sur la carte graphique</t>
  </si>
  <si>
    <t>résolution d'un problème lié au github (problèmes de merge Pull) -&gt; résolution, nettoyage du github ainsi que l'ajout des fichiers à nouveau</t>
  </si>
  <si>
    <t>J'ai en premier lieu cherché une police d'écriture pour le titre, j'ai mis en place un décor pour le jeu ayant pour but de délimiter les déplacements du vaisseau en plein jeu et de donner une certaine partie graphique</t>
  </si>
  <si>
    <t>ajout d'un "fond d'écran" donnant l'effet gameboy avec des carractères ascii choisis soigneusement</t>
  </si>
  <si>
    <t>Réalisation de nouvelle options, indentation du texte ainsi que recherche sur comment stoper la music dans l'application</t>
  </si>
  <si>
    <t>Création d'une animation lors de la fermeture de l'application</t>
  </si>
  <si>
    <t>Au cour des périodes il a été prévu que je prenne le role de la création du menu, j'ai ainsi travaillé sur ce dernier et modifier ce qui a déjà été fait</t>
  </si>
  <si>
    <t>design des vaisseaux enemy avec test afin de voir si cela marcherais (infructueux)</t>
  </si>
  <si>
    <t>design du vaisseau du joueur, essai de coloration du vaisseau (pas encore résolu)</t>
  </si>
  <si>
    <t>http://textart4u.blogspot.com/2014/04/space-invaders-copy-paste-ascii-text-art.html</t>
  </si>
  <si>
    <t>Création du Space ship ainsi que des ennemis, optimisation de la console</t>
  </si>
  <si>
    <t>J'ai Aidé Jeremy pour le design des ennemis, ainsi que le positionement(pas finit)</t>
  </si>
  <si>
    <t>J'ai Aidé Jeremy pour le Contrôle du space ship, nous avons rencontré de nombreuses difficultées, notamment avec le console.SetBufferSize (pas finit)</t>
  </si>
  <si>
    <t>vacances d'octobre</t>
  </si>
  <si>
    <t>Théo Di Paola(vert), Sofian Ethenoz(orange), jonathan Letourneur(rose), Jérémi(jaune)</t>
  </si>
  <si>
    <t>malade (absent)</t>
  </si>
  <si>
    <t>remplissage du journal de travail (ainsi que la semaine avant les vacances)</t>
  </si>
  <si>
    <t>Reprise du travail effecuté le lundi 7 octobre 2019, reprise du programme depuis le début avec théo dipaola pour le déplacement des ennemis avec animation(pas finit)</t>
  </si>
  <si>
    <t>aide pour une refonte du déplacement des ennemis avec des buffers essai d'animation de l'ennemi (a chaque frame l'ennemi change de pose) -&gt; pas fini; essai de mise en place d'une lignée d'ennemis qui bougen en meme temps -&gt; pas réussi</t>
  </si>
  <si>
    <t>J'ai cherché une solution pour le niveau des ennemis et pour les highscore, j'en suis arrivé à me demander si se ne serais pas mieux d'implémenter le highscore et la partie à propos dans un document text, j'ai passé le reste de la période à chercher comment faire et a l'implémenter.</t>
  </si>
  <si>
    <t>Création de la classe Ennemy, + gestion du déplacement des ennemis + animations des ennemis + affichage des ennemis</t>
  </si>
  <si>
    <t>Création de la classe Player, Affichage du joueurs + début déplacement joueur</t>
  </si>
  <si>
    <t>aide pour une refonte du déplacement des ennemis avec des buffers essai d'animation de l'ennemi (a chaque frame l'ennemi change de pose) -&gt; fini; essai de mise en place d'une lignée d'ennemis qui bougent en meme temps -&gt; fini; ajout du joueur (vaisseau) et son déplacement  -&gt; pas réussi</t>
  </si>
  <si>
    <t>aide pour l'ajout du joueur (vaisseau) et son déplacement  -&gt; réussi ; ajout du tir du joueur -&gt;réussi ; optimisation des images par secondes (via threads); suppression des ennemis touchés -&gt; pas réussi</t>
  </si>
  <si>
    <t>feedback du test prog</t>
  </si>
  <si>
    <t>Remplissage du journal de travail</t>
  </si>
  <si>
    <t>Déplacement du vaisseau à droite ou à gauche avec restriction pour empécher l'utilisateur de sortir de la console + optimisation de la vitesse de déplacement (terminé et fonctionnel)</t>
  </si>
  <si>
    <t>Gestion du tire avec la touche espace + restriction pour empécher le tire de sortir de la console (terminé et fonctionnel) mais les tires ne supprime pas encore les ennemis</t>
  </si>
  <si>
    <t>aide reçue pour regler un problème concernant le missile (le missile suivait le déplacement du vaisseau allié =&gt; résolu)</t>
  </si>
  <si>
    <t>aide pour les tests unitaires =&gt; fini (deplacement du joueur/enemis, deplacement du missile =&gt; tous réussi)</t>
  </si>
  <si>
    <t>Rapport Test Unitaire</t>
  </si>
  <si>
    <t>Début de la gestion des collisions des missils contre les ennemis</t>
  </si>
  <si>
    <t>aide pour  l'ajout d'un  tableau contenant les ennemis afin de pouvoir les faire disparaître une fois touchés</t>
  </si>
  <si>
    <t>J'ai fini le menu mise à par les high score et "a propos"</t>
  </si>
  <si>
    <t>aide pour  l'ajout d'un  tableau contenant les ennemis afin de pouvoir les faire disparaître une fois touchés(multiples changements essaiyés mais pas concluants pour l'instant...)</t>
  </si>
  <si>
    <t>Réalisation des tests unitaires sur les class Ennemy et Player, les tests sont finit et réussis</t>
  </si>
  <si>
    <t xml:space="preserve">Gestion des collisions entre les ennemis ainsi que le missile, les ennemis s'efface lorsque le missile les touches, les balles s'efface lorsque elle sortent de la console ou si elles touchent un ennemis, cependant les missiles ne s'arrêtent pas </t>
  </si>
  <si>
    <t>reussite de l'effacement de l'ennemi (individuel) mais problème de missile: il contiue sa route et ne s'arrete pas -&gt; pas encore résolu</t>
  </si>
  <si>
    <t>On a travaillé sur le déplacement du joueur et sur la gestion des balles, cependant les balles ne sont toujours pas capable de supprimé les ennemis</t>
  </si>
  <si>
    <t>On a fait les test unitaires</t>
  </si>
  <si>
    <t>On a rajouté un tableau qui gére les ennemis pour leur disparition mais les ennemis ne disparaissent pas encore</t>
  </si>
  <si>
    <t>On a fait en sorte que les ennemis disparaissent quand on les touches, au début quand un ennemi se faisait touchait toute la ligne était supprimé, on a réussi a changer ça mais à cause du positionement incertain des ennemis plusieur petit problème dans leur élimination c'est posé</t>
  </si>
  <si>
    <t xml:space="preserve">tentative d'effaçage du missile (très compliquée un problème de re-affichage du missile ainsi que l'ordre de l'affichage semble en etre la cause. -&gt;pas fini) </t>
  </si>
  <si>
    <t>aide pour amelioration des performances du projet (trop de console.clear inutiles, redisposition d'affichage des ennemis etc.)</t>
  </si>
  <si>
    <t>Aide reçu pour l'amélioration de la hitbox des ennemis, grandes améliorations de la hit box, suppression de console clear</t>
  </si>
  <si>
    <t>Aide pour la coherence et les performances de l'application, on a supprimé certaines lignes de commandes et redispossisionage de certaines commandes dans le code</t>
  </si>
  <si>
    <t>On a essayé de supprimer le missile quand ce dernier touchait un ennemi sans y arriver</t>
  </si>
  <si>
    <t>ajout d'une methode pouvant enregistrer le score du joueur (lui aussi defini) dans un fichier texte avec la date et l'heure a chaque ligne</t>
  </si>
  <si>
    <t>aide pour la disparition du missile (compliqué...)</t>
  </si>
  <si>
    <t>Améliorations de la HitBox, création de méthodes pour la HitBox, commentaire ajoutée sur toutes les parties du code, nous avons 2 problème, le missile reste dans le BufferArea lors des déplacement (uniquement le haut du buffer) ainsi que le missile qui transperce plusieurs ennemis, impossible d'arrêter le missile</t>
  </si>
  <si>
    <t>Création de la class bullet, transfert du code en rapport avec la bullet de la class Player à la class Bullet.</t>
  </si>
  <si>
    <t>Améliorations global du code, ajouts de méthodes, changement d'algorithme, ajout de commentaires</t>
  </si>
  <si>
    <t>Affichage du missile + suppression du missile</t>
  </si>
  <si>
    <t>J'ai aidé sofian en refaisant le déplacement des ennemis et leurs animations. Il y a eu plusieur problème à cause du code qu'il avait écrit de base</t>
  </si>
  <si>
    <t>Animation de fin du programme, fusée qui décolle du bas en haut de l'écran</t>
  </si>
  <si>
    <t>Documentation Doxygen pour le prochain test du module I 226B</t>
  </si>
  <si>
    <t>Shema UML avec les liens</t>
  </si>
  <si>
    <t xml:space="preserve">Jonathan à reprit le code, pour l'améliorer et régler les différents poblèmes rencontrés. J'ai repassé dessus pour mettre des commentaires ainsi que pour améliorer le code qu'il m'a donnée </t>
  </si>
  <si>
    <t>explication du prof sur les shémas UML</t>
  </si>
  <si>
    <t>aide pour l'ajout de l'animation de fin de la partie dans le code principal(fusée qui decolle)ainsi que aide pour création de murs</t>
  </si>
  <si>
    <t>remplissage su journal de travail</t>
  </si>
  <si>
    <t>J'ai aidé théo et jérémy pour la mise en place du high score</t>
  </si>
  <si>
    <t>J'ai aidé sofian avec les ennemis</t>
  </si>
  <si>
    <t>J'ai reppris le programme chez moi pour le modifier et l'améliorer</t>
  </si>
  <si>
    <t>J'ai continué le programme en généralité en rajoutant les murs et en gérant les soucis de déplacements des ennemis</t>
  </si>
  <si>
    <t>aide pour la documentation du projet tout entier</t>
  </si>
  <si>
    <t>Mise en place du Trello</t>
  </si>
  <si>
    <t>Analyse du programme démo fournit avec le cahier des charges</t>
  </si>
  <si>
    <t>Analyse de la doc MSDN sur les classes pour commencer un schéma Uml du programme</t>
  </si>
  <si>
    <t>Hospitalisation</t>
  </si>
  <si>
    <t>Création des controles avec un Space Ship primitif</t>
  </si>
  <si>
    <t>Création des trajectoires des missiles en fonction du Space Ship</t>
  </si>
  <si>
    <t>Code qui permet de controller le Space Ship en même temps de les ennemies bouge, porblème rencontré sur console.SetBufferSize. Aide Sofian</t>
  </si>
  <si>
    <t>Code de la position des ennemies, aide de Sofian mais à finir</t>
  </si>
  <si>
    <t>Finission des controles du Space Ship et des ennemies(Ils bougent juste, ils ne peuvent pas encore tirer controles le SpaceS hip)</t>
  </si>
  <si>
    <t>Test des controles et des ennemies</t>
  </si>
  <si>
    <t>Commencement du rapport de projet</t>
  </si>
  <si>
    <t>Analyse du highScore : Il doit augmenter à chaque ennemi tué et on doit pouvoir l'afficher dans l'onglet High Score du menu</t>
  </si>
  <si>
    <t>Avancement dans la documentation (rapport en autre)</t>
  </si>
  <si>
    <t>Code du High Socre qui inscrit la date, les points et le nom de chaque utilisateur</t>
  </si>
  <si>
    <t>Lundi 6 janvier 2020</t>
  </si>
  <si>
    <t>Ajout de la partie "Bilan Fonctionnel" ainsi que amélioration de toute la documentation et révision de l'ortographe du document</t>
  </si>
  <si>
    <t>Mise à jour du trello ainsi que définition plus prècis sur les taches a faire et finite (Date de fin, objectif à terminer pour considérer la tache finite, déscription de la tache).</t>
  </si>
  <si>
    <t>J'ai join le menu au reste du programme et fait la correlation avec la difficulté et les déplacements des ennemis</t>
  </si>
  <si>
    <t>J'ai fini les derniers point sur le programme, maintenant la partie se finie quand le joueur n'as plus de vie et il perd une vie quand les ennemis touchent le sol. J'ai aussi incorporer la musique et le score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</si>
</sst>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3"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1"/>
      <color rgb="FF006100"/>
      <name val="Century Gothic"/>
      <family val="2"/>
      <scheme val="minor"/>
    </font>
    <font>
      <sz val="11"/>
      <color rgb="FF9C0006"/>
      <name val="Century Gothic"/>
      <family val="2"/>
      <scheme val="minor"/>
    </font>
    <font>
      <sz val="11"/>
      <color rgb="FF9C6500"/>
      <name val="Century Gothic"/>
      <family val="2"/>
      <scheme val="minor"/>
    </font>
    <font>
      <sz val="11"/>
      <color rgb="FF3F3F76"/>
      <name val="Century Gothic"/>
      <family val="2"/>
      <scheme val="minor"/>
    </font>
    <font>
      <sz val="10"/>
      <color theme="0"/>
      <name val="Century Gothic"/>
      <family val="2"/>
      <scheme val="minor"/>
    </font>
    <font>
      <sz val="11"/>
      <name val="Century Gothic"/>
      <family val="2"/>
      <scheme val="minor"/>
    </font>
    <font>
      <sz val="11"/>
      <color rgb="FFFF0000"/>
      <name val="Century Gothic"/>
      <family val="2"/>
      <scheme val="minor"/>
    </font>
  </fonts>
  <fills count="18">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thin">
        <color rgb="FF7F7F7F"/>
      </left>
      <right style="thin">
        <color rgb="FF7F7F7F"/>
      </right>
      <top style="thin">
        <color rgb="FF7F7F7F"/>
      </top>
      <bottom style="thin">
        <color rgb="FF7F7F7F"/>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medium">
        <color rgb="FF7F7F7F"/>
      </left>
      <right style="medium">
        <color rgb="FF7F7F7F"/>
      </right>
      <top style="medium">
        <color rgb="FF7F7F7F"/>
      </top>
      <bottom style="medium">
        <color rgb="FF7F7F7F"/>
      </bottom>
      <diagonal/>
    </border>
    <border>
      <left style="thick">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s>
  <cellStyleXfs count="8">
    <xf numFmtId="0" fontId="0" fillId="0" borderId="0"/>
    <xf numFmtId="0" fontId="1" fillId="0" borderId="0" applyNumberFormat="0" applyFill="0" applyBorder="0" applyAlignment="0" applyProtection="0">
      <alignment vertical="top"/>
      <protection locked="0"/>
    </xf>
    <xf numFmtId="0" fontId="8" fillId="0" borderId="0"/>
    <xf numFmtId="0" fontId="5" fillId="0" borderId="0"/>
    <xf numFmtId="0" fontId="16" fillId="14" borderId="0" applyNumberFormat="0" applyBorder="0" applyAlignment="0" applyProtection="0"/>
    <xf numFmtId="0" fontId="17" fillId="15" borderId="0" applyNumberFormat="0" applyBorder="0" applyAlignment="0" applyProtection="0"/>
    <xf numFmtId="0" fontId="18" fillId="16" borderId="0" applyNumberFormat="0" applyBorder="0" applyAlignment="0" applyProtection="0"/>
    <xf numFmtId="0" fontId="19" fillId="17" borderId="34" applyNumberFormat="0" applyAlignment="0" applyProtection="0"/>
  </cellStyleXfs>
  <cellXfs count="149">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5" fillId="8" borderId="22" xfId="0" applyFont="1" applyFill="1" applyBorder="1" applyAlignment="1" applyProtection="1">
      <alignment horizontal="left" vertical="center" wrapText="1" indent="2"/>
      <protection locked="0"/>
    </xf>
    <xf numFmtId="0" fontId="9" fillId="12" borderId="13" xfId="0" applyFont="1" applyFill="1" applyBorder="1" applyAlignment="1" applyProtection="1">
      <alignment horizontal="left" vertical="top" wrapText="1"/>
    </xf>
    <xf numFmtId="0" fontId="20" fillId="9" borderId="0" xfId="0" applyFont="1" applyFill="1"/>
    <xf numFmtId="0" fontId="9" fillId="4" borderId="13" xfId="0" applyFont="1" applyFill="1" applyBorder="1" applyAlignment="1" applyProtection="1">
      <alignment horizontal="left" vertical="top" wrapText="1"/>
    </xf>
    <xf numFmtId="0" fontId="6" fillId="12" borderId="20" xfId="0" applyFont="1" applyFill="1" applyBorder="1" applyAlignment="1" applyProtection="1">
      <alignment horizontal="center" vertical="center"/>
    </xf>
    <xf numFmtId="0" fontId="11" fillId="12" borderId="20" xfId="0" applyFont="1" applyFill="1" applyBorder="1" applyAlignment="1" applyProtection="1">
      <alignment horizontal="center" vertical="center" wrapText="1"/>
    </xf>
    <xf numFmtId="0" fontId="8" fillId="12" borderId="32" xfId="0" applyFont="1" applyFill="1" applyBorder="1" applyAlignment="1" applyProtection="1">
      <alignment horizontal="center" vertical="center" wrapText="1"/>
    </xf>
    <xf numFmtId="0" fontId="9" fillId="12" borderId="11" xfId="0" applyFont="1" applyFill="1" applyBorder="1" applyAlignment="1" applyProtection="1">
      <alignment horizontal="left" vertical="top" wrapText="1"/>
    </xf>
    <xf numFmtId="0" fontId="8" fillId="12" borderId="11" xfId="0" applyFont="1" applyFill="1" applyBorder="1" applyAlignment="1" applyProtection="1">
      <alignment horizontal="left" vertical="top" wrapText="1"/>
    </xf>
    <xf numFmtId="0" fontId="21" fillId="17" borderId="35" xfId="7" applyFont="1" applyBorder="1" applyAlignment="1" applyProtection="1">
      <alignment horizontal="center" vertical="center" wrapText="1"/>
      <protection locked="0"/>
    </xf>
    <xf numFmtId="0" fontId="21" fillId="17" borderId="36" xfId="7" applyFont="1" applyBorder="1" applyAlignment="1" applyProtection="1">
      <alignment horizontal="center" vertical="center" wrapText="1"/>
      <protection locked="0"/>
    </xf>
    <xf numFmtId="0" fontId="21" fillId="17" borderId="36" xfId="7" applyFont="1" applyBorder="1" applyAlignment="1" applyProtection="1">
      <alignment horizontal="left" vertical="top" wrapText="1"/>
      <protection locked="0"/>
    </xf>
    <xf numFmtId="0" fontId="21" fillId="17" borderId="37" xfId="7" applyFont="1" applyBorder="1" applyAlignment="1" applyProtection="1">
      <alignment horizontal="left" vertical="top" wrapText="1"/>
      <protection locked="0"/>
    </xf>
    <xf numFmtId="0" fontId="21" fillId="17" borderId="38" xfId="7" applyFont="1" applyBorder="1" applyAlignment="1" applyProtection="1">
      <alignment horizontal="center" vertical="center" wrapText="1"/>
      <protection locked="0"/>
    </xf>
    <xf numFmtId="0" fontId="21" fillId="17" borderId="39" xfId="7" applyFont="1" applyBorder="1" applyAlignment="1" applyProtection="1">
      <alignment horizontal="center" vertical="center" wrapText="1"/>
      <protection locked="0"/>
    </xf>
    <xf numFmtId="0" fontId="21" fillId="17" borderId="39" xfId="7" applyFont="1" applyBorder="1" applyAlignment="1" applyProtection="1">
      <alignment horizontal="left" vertical="top" wrapText="1"/>
      <protection locked="0"/>
    </xf>
    <xf numFmtId="0" fontId="21" fillId="17" borderId="40" xfId="7" applyFont="1" applyBorder="1" applyAlignment="1" applyProtection="1">
      <alignment horizontal="left" vertical="top" wrapText="1"/>
      <protection locked="0"/>
    </xf>
    <xf numFmtId="0" fontId="21" fillId="16" borderId="38" xfId="6" applyFont="1" applyBorder="1" applyAlignment="1" applyProtection="1">
      <alignment horizontal="center" vertical="center" wrapText="1"/>
      <protection locked="0"/>
    </xf>
    <xf numFmtId="0" fontId="21" fillId="16" borderId="39" xfId="6" applyFont="1" applyBorder="1" applyAlignment="1" applyProtection="1">
      <alignment horizontal="center" vertical="center" wrapText="1"/>
      <protection locked="0"/>
    </xf>
    <xf numFmtId="0" fontId="21" fillId="16" borderId="39" xfId="6" applyFont="1" applyBorder="1" applyAlignment="1" applyProtection="1">
      <alignment horizontal="left" vertical="top" wrapText="1"/>
      <protection locked="0"/>
    </xf>
    <xf numFmtId="0" fontId="21" fillId="16" borderId="40" xfId="6" applyFont="1" applyBorder="1" applyAlignment="1" applyProtection="1">
      <alignment horizontal="left" vertical="top" wrapText="1"/>
      <protection locked="0"/>
    </xf>
    <xf numFmtId="0" fontId="21" fillId="14" borderId="38" xfId="4" applyFont="1" applyBorder="1" applyAlignment="1" applyProtection="1">
      <alignment horizontal="center" vertical="center" wrapText="1"/>
      <protection locked="0"/>
    </xf>
    <xf numFmtId="0" fontId="21" fillId="14" borderId="39" xfId="4" applyFont="1" applyBorder="1" applyAlignment="1" applyProtection="1">
      <alignment horizontal="center" vertical="center" wrapText="1"/>
      <protection locked="0"/>
    </xf>
    <xf numFmtId="0" fontId="21" fillId="14" borderId="39" xfId="4" applyFont="1" applyBorder="1" applyAlignment="1" applyProtection="1">
      <alignment horizontal="left" vertical="top" wrapText="1"/>
      <protection locked="0"/>
    </xf>
    <xf numFmtId="0" fontId="21" fillId="14" borderId="40" xfId="4" applyFont="1" applyBorder="1" applyAlignment="1" applyProtection="1">
      <alignment horizontal="left" vertical="top" wrapText="1"/>
      <protection locked="0"/>
    </xf>
    <xf numFmtId="0" fontId="21" fillId="15" borderId="38" xfId="5" applyFont="1" applyBorder="1" applyAlignment="1" applyProtection="1">
      <alignment horizontal="center" vertical="center" wrapText="1"/>
      <protection locked="0"/>
    </xf>
    <xf numFmtId="0" fontId="21" fillId="15" borderId="39" xfId="5" applyFont="1" applyBorder="1" applyAlignment="1" applyProtection="1">
      <alignment horizontal="center" vertical="center" wrapText="1"/>
      <protection locked="0"/>
    </xf>
    <xf numFmtId="0" fontId="21" fillId="15" borderId="39" xfId="5" applyFont="1" applyBorder="1" applyAlignment="1" applyProtection="1">
      <alignment horizontal="left" vertical="top" wrapText="1"/>
      <protection locked="0"/>
    </xf>
    <xf numFmtId="0" fontId="21" fillId="15" borderId="40" xfId="5" applyFont="1" applyBorder="1" applyAlignment="1" applyProtection="1">
      <alignment horizontal="left" vertical="top" wrapText="1"/>
      <protection locked="0"/>
    </xf>
    <xf numFmtId="0" fontId="21" fillId="15" borderId="41" xfId="5" applyFont="1" applyBorder="1" applyAlignment="1" applyProtection="1">
      <alignment horizontal="center" vertical="center" wrapText="1"/>
      <protection locked="0"/>
    </xf>
    <xf numFmtId="0" fontId="21" fillId="15" borderId="42" xfId="5" applyFont="1" applyBorder="1" applyAlignment="1" applyProtection="1">
      <alignment horizontal="center" vertical="center" wrapText="1"/>
      <protection locked="0"/>
    </xf>
    <xf numFmtId="0" fontId="21" fillId="15" borderId="42" xfId="5" applyFont="1" applyBorder="1" applyAlignment="1" applyProtection="1">
      <alignment horizontal="left" vertical="top" wrapText="1"/>
      <protection locked="0"/>
    </xf>
    <xf numFmtId="0" fontId="21" fillId="15" borderId="43" xfId="5" applyFont="1" applyBorder="1" applyAlignment="1" applyProtection="1">
      <alignment horizontal="left" vertical="top" wrapText="1"/>
      <protection locked="0"/>
    </xf>
    <xf numFmtId="0" fontId="6" fillId="3" borderId="20" xfId="0" applyFont="1" applyFill="1" applyBorder="1" applyAlignment="1" applyProtection="1">
      <alignment horizontal="center" vertical="center"/>
    </xf>
    <xf numFmtId="0" fontId="11" fillId="3" borderId="20" xfId="0" applyFont="1" applyFill="1" applyBorder="1" applyAlignment="1" applyProtection="1">
      <alignment horizontal="center" vertical="center" wrapText="1"/>
    </xf>
    <xf numFmtId="0" fontId="8" fillId="4" borderId="32" xfId="0" applyFont="1" applyFill="1" applyBorder="1" applyAlignment="1" applyProtection="1">
      <alignment horizontal="center" vertical="center" wrapText="1"/>
    </xf>
    <xf numFmtId="0" fontId="9" fillId="4" borderId="11" xfId="0" applyFont="1" applyFill="1" applyBorder="1" applyAlignment="1" applyProtection="1">
      <alignment horizontal="left" vertical="top" wrapText="1"/>
    </xf>
    <xf numFmtId="0" fontId="8" fillId="4" borderId="11" xfId="0" applyFont="1" applyFill="1" applyBorder="1" applyAlignment="1" applyProtection="1">
      <alignment horizontal="left" vertical="top" wrapText="1"/>
    </xf>
    <xf numFmtId="0" fontId="21" fillId="17" borderId="44" xfId="7" applyFont="1" applyBorder="1"/>
    <xf numFmtId="0" fontId="21" fillId="16" borderId="44" xfId="6" applyFont="1" applyBorder="1" applyAlignment="1" applyProtection="1">
      <alignment horizontal="center" vertical="center" wrapText="1"/>
      <protection locked="0"/>
    </xf>
    <xf numFmtId="0" fontId="21" fillId="16" borderId="44" xfId="6" applyFont="1" applyBorder="1" applyAlignment="1" applyProtection="1">
      <alignment horizontal="left" vertical="top" wrapText="1"/>
      <protection locked="0"/>
    </xf>
    <xf numFmtId="0" fontId="21" fillId="14" borderId="44" xfId="4" applyFont="1" applyBorder="1" applyAlignment="1" applyProtection="1">
      <alignment horizontal="center" vertical="center" wrapText="1"/>
      <protection locked="0"/>
    </xf>
    <xf numFmtId="0" fontId="21" fillId="14" borderId="44" xfId="4" applyFont="1" applyBorder="1" applyAlignment="1" applyProtection="1">
      <alignment horizontal="left" vertical="top" wrapText="1"/>
      <protection locked="0"/>
    </xf>
    <xf numFmtId="0" fontId="21" fillId="15" borderId="44" xfId="5" applyFont="1" applyBorder="1" applyAlignment="1" applyProtection="1">
      <alignment horizontal="center" vertical="center" wrapText="1"/>
      <protection locked="0"/>
    </xf>
    <xf numFmtId="0" fontId="21" fillId="15" borderId="44" xfId="5" applyFont="1" applyBorder="1" applyAlignment="1" applyProtection="1">
      <alignment horizontal="left" vertical="top" wrapText="1"/>
      <protection locked="0"/>
    </xf>
    <xf numFmtId="0" fontId="1" fillId="14" borderId="40" xfId="1" applyFill="1" applyBorder="1" applyAlignment="1" applyProtection="1">
      <alignment horizontal="left" vertical="top" wrapText="1"/>
      <protection locked="0"/>
    </xf>
    <xf numFmtId="0" fontId="22" fillId="15" borderId="40" xfId="5" applyFont="1" applyBorder="1" applyAlignment="1" applyProtection="1">
      <alignment horizontal="left" vertical="top" wrapText="1"/>
      <protection locked="0"/>
    </xf>
    <xf numFmtId="0" fontId="19" fillId="17" borderId="34" xfId="7" applyAlignment="1" applyProtection="1"/>
    <xf numFmtId="0" fontId="9" fillId="12" borderId="13" xfId="0" applyFont="1" applyFill="1" applyBorder="1" applyAlignment="1" applyProtection="1">
      <alignment horizontal="center" vertical="center" wrapText="1"/>
    </xf>
    <xf numFmtId="0" fontId="10" fillId="11" borderId="0" xfId="0" applyFont="1" applyFill="1" applyAlignment="1" applyProtection="1">
      <alignment horizontal="center" vertical="center"/>
    </xf>
    <xf numFmtId="0" fontId="1" fillId="17" borderId="37" xfId="1" applyFill="1" applyBorder="1" applyAlignment="1" applyProtection="1">
      <alignment horizontal="left" vertical="top" wrapText="1"/>
      <protection locked="0"/>
    </xf>
    <xf numFmtId="0" fontId="21" fillId="17" borderId="34" xfId="7" applyFont="1" applyAlignment="1" applyProtection="1">
      <alignment horizontal="center" vertical="center" wrapText="1"/>
      <protection locked="0"/>
    </xf>
    <xf numFmtId="0" fontId="21" fillId="17" borderId="34" xfId="7" applyFont="1" applyAlignment="1" applyProtection="1">
      <alignment horizontal="left" vertical="top" wrapText="1"/>
      <protection locked="0"/>
    </xf>
    <xf numFmtId="0" fontId="21" fillId="17" borderId="45" xfId="7" applyFont="1" applyBorder="1" applyAlignment="1" applyProtection="1">
      <alignment horizontal="center" vertical="center" wrapText="1"/>
      <protection locked="0"/>
    </xf>
    <xf numFmtId="0" fontId="21" fillId="17" borderId="46" xfId="7" applyFont="1" applyBorder="1" applyAlignment="1" applyProtection="1">
      <alignment horizontal="center" vertical="center" wrapText="1"/>
      <protection locked="0"/>
    </xf>
    <xf numFmtId="0" fontId="21" fillId="17" borderId="46" xfId="7" applyFont="1" applyBorder="1" applyAlignment="1" applyProtection="1">
      <alignment horizontal="left" vertical="top" wrapText="1"/>
      <protection locked="0"/>
    </xf>
    <xf numFmtId="0" fontId="21" fillId="17" borderId="47" xfId="7" applyFont="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cellXfs>
  <cellStyles count="8">
    <cellStyle name="Entrée" xfId="7" builtinId="20"/>
    <cellStyle name="Insatisfaisant" xfId="5" builtinId="27"/>
    <cellStyle name="Lien hypertexte" xfId="1" builtinId="8"/>
    <cellStyle name="Neutre" xfId="6" builtinId="28"/>
    <cellStyle name="Normal" xfId="0" builtinId="0" customBuiltin="1"/>
    <cellStyle name="Normal 2" xfId="2"/>
    <cellStyle name="Normal 2 2" xfId="3"/>
    <cellStyle name="Satisfaisant" xfId="4" builtinId="26"/>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hyperlink" Target="http://textart4u.blogspot.com/2014/04/space-invaders-copy-paste-ascii-text-art.html" TargetMode="External"/><Relationship Id="rId7" Type="http://schemas.openxmlformats.org/officeDocument/2006/relationships/drawing" Target="../drawings/drawing4.xml"/><Relationship Id="rId2" Type="http://schemas.openxmlformats.org/officeDocument/2006/relationships/hyperlink" Target="http://textart4u.blogspot.com/2014/04/space-invaders-copy-paste-ascii-text-art.html" TargetMode="External"/><Relationship Id="rId1" Type="http://schemas.openxmlformats.org/officeDocument/2006/relationships/hyperlink" Target="https://docs.microsoft.com/en-us/visualstudio/test/walkthrough-creating-and-running-unit-tests-for-managed-code?view=vs-2019" TargetMode="External"/><Relationship Id="rId6" Type="http://schemas.openxmlformats.org/officeDocument/2006/relationships/printerSettings" Target="../printerSettings/printerSettings4.bin"/><Relationship Id="rId5" Type="http://schemas.openxmlformats.org/officeDocument/2006/relationships/hyperlink" Target="https://docs.google.com/document/d/1vMcmFSGY-IO2I_Cde1oHBeK81H40rUAhrAxpyNoFNxE/edit?usp=sharing" TargetMode="External"/><Relationship Id="rId10" Type="http://schemas.openxmlformats.org/officeDocument/2006/relationships/image" Target="../media/image7.emf"/><Relationship Id="rId4" Type="http://schemas.openxmlformats.org/officeDocument/2006/relationships/hyperlink" Target="https://docs.google.com/document/d/1vMcmFSGY-IO2I_Cde1oHBeK81H40rUAhrAxpyNoFNxE/edit?usp=sharing" TargetMode="External"/><Relationship Id="rId9"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view="pageBreakPreview" topLeftCell="A10" zoomScaleNormal="100" zoomScaleSheetLayoutView="100" workbookViewId="0">
      <selection activeCell="C33" sqref="C33"/>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39" x14ac:dyDescent="0.25">
      <c r="A4" s="59"/>
      <c r="B4" s="64" t="s">
        <v>4</v>
      </c>
      <c r="C4" s="88" t="s">
        <v>67</v>
      </c>
      <c r="D4" s="60"/>
      <c r="E4" s="60"/>
      <c r="F4" s="60"/>
      <c r="G4" s="61"/>
    </row>
    <row r="5" spans="1:7" ht="20.25" x14ac:dyDescent="0.25">
      <c r="A5" s="59"/>
      <c r="B5" s="64" t="s">
        <v>1</v>
      </c>
      <c r="C5" s="65" t="s">
        <v>25</v>
      </c>
      <c r="D5" s="60"/>
      <c r="E5" s="60"/>
      <c r="F5" s="60"/>
      <c r="G5" s="61"/>
    </row>
    <row r="6" spans="1:7" ht="21" thickBot="1" x14ac:dyDescent="0.3">
      <c r="A6" s="59"/>
      <c r="B6" s="66" t="s">
        <v>2</v>
      </c>
      <c r="C6" s="67" t="s">
        <v>26</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43710</v>
      </c>
      <c r="D9" s="60"/>
      <c r="E9" s="60"/>
      <c r="F9" s="60"/>
      <c r="G9" s="61"/>
    </row>
    <row r="10" spans="1:7" ht="20.25" x14ac:dyDescent="0.25">
      <c r="A10" s="59"/>
      <c r="B10" s="69" t="s">
        <v>8</v>
      </c>
      <c r="C10" s="70">
        <v>43836</v>
      </c>
      <c r="D10" s="60"/>
      <c r="E10" s="60"/>
      <c r="F10" s="60"/>
      <c r="G10" s="61"/>
    </row>
    <row r="11" spans="1:7" ht="20.25" x14ac:dyDescent="0.25">
      <c r="A11" s="59"/>
      <c r="B11" s="69" t="s">
        <v>10</v>
      </c>
      <c r="C11" s="71">
        <v>16</v>
      </c>
      <c r="D11" s="60"/>
      <c r="E11" s="60"/>
      <c r="F11" s="60"/>
      <c r="G11" s="61"/>
    </row>
    <row r="12" spans="1:7" ht="20.25" x14ac:dyDescent="0.25">
      <c r="A12" s="59"/>
      <c r="B12" s="64" t="s">
        <v>11</v>
      </c>
      <c r="C12" s="72">
        <v>16</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45" t="s">
        <v>19</v>
      </c>
      <c r="C19" s="146"/>
      <c r="D19" s="60"/>
      <c r="E19" s="60"/>
      <c r="F19" s="60"/>
      <c r="G19" s="61"/>
    </row>
    <row r="20" spans="1:13" ht="20.25" x14ac:dyDescent="0.25">
      <c r="A20" s="79"/>
      <c r="B20" s="80" t="s">
        <v>20</v>
      </c>
      <c r="C20" s="81" t="s">
        <v>21</v>
      </c>
      <c r="D20" s="60"/>
      <c r="E20" s="60"/>
      <c r="F20" s="60"/>
      <c r="G20" s="61"/>
    </row>
    <row r="21" spans="1:13" ht="20.25" x14ac:dyDescent="0.25">
      <c r="A21" s="79"/>
      <c r="B21" s="80">
        <v>1</v>
      </c>
      <c r="C21" s="70" t="s">
        <v>29</v>
      </c>
      <c r="D21" s="60"/>
      <c r="E21" s="60"/>
      <c r="F21" s="60"/>
      <c r="G21" s="61"/>
    </row>
    <row r="22" spans="1:13" ht="20.25" x14ac:dyDescent="0.25">
      <c r="A22" s="79"/>
      <c r="B22" s="80">
        <v>2</v>
      </c>
      <c r="C22" s="71" t="s">
        <v>30</v>
      </c>
      <c r="D22" s="60"/>
      <c r="E22" s="60"/>
      <c r="F22" s="60"/>
      <c r="G22" s="61"/>
    </row>
    <row r="23" spans="1:13" ht="20.25" x14ac:dyDescent="0.25">
      <c r="A23" s="79"/>
      <c r="B23" s="82">
        <v>3</v>
      </c>
      <c r="C23" s="71" t="s">
        <v>38</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34</v>
      </c>
      <c r="D27" s="60"/>
      <c r="E27" s="60"/>
      <c r="F27" s="60"/>
      <c r="G27" s="61"/>
    </row>
    <row r="28" spans="1:13" ht="20.25" x14ac:dyDescent="0.25">
      <c r="A28" s="79"/>
      <c r="B28" s="80">
        <v>8</v>
      </c>
      <c r="C28" s="72" t="s">
        <v>35</v>
      </c>
      <c r="D28" s="60"/>
      <c r="E28" s="60"/>
      <c r="F28" s="60"/>
      <c r="G28" s="61"/>
    </row>
    <row r="29" spans="1:13" ht="20.25" x14ac:dyDescent="0.25">
      <c r="A29" s="79"/>
      <c r="B29" s="82">
        <v>9</v>
      </c>
      <c r="C29" s="72" t="s">
        <v>36</v>
      </c>
      <c r="D29" s="60"/>
      <c r="E29" s="60"/>
      <c r="F29" s="60"/>
      <c r="G29" s="61"/>
    </row>
    <row r="30" spans="1:13" ht="20.25" x14ac:dyDescent="0.25">
      <c r="A30" s="79"/>
      <c r="B30" s="80">
        <v>10</v>
      </c>
      <c r="C30" s="71" t="s">
        <v>37</v>
      </c>
      <c r="D30" s="60"/>
      <c r="E30" s="60"/>
      <c r="F30" s="60"/>
      <c r="G30" s="61"/>
    </row>
    <row r="31" spans="1:13" ht="20.25" x14ac:dyDescent="0.25">
      <c r="A31" s="79"/>
      <c r="B31" s="80">
        <v>11</v>
      </c>
      <c r="C31" s="71" t="s">
        <v>39</v>
      </c>
      <c r="D31" s="60"/>
      <c r="E31" s="60"/>
      <c r="F31" s="60"/>
      <c r="G31" s="61"/>
      <c r="H31" s="83"/>
      <c r="I31" s="83"/>
      <c r="J31" s="83"/>
      <c r="K31" s="83"/>
      <c r="L31" s="83"/>
      <c r="M31" s="83"/>
    </row>
    <row r="32" spans="1:13" ht="20.25" x14ac:dyDescent="0.25">
      <c r="A32" s="79"/>
      <c r="B32" s="82">
        <v>12</v>
      </c>
      <c r="C32" s="71" t="s">
        <v>40</v>
      </c>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1"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47" t="s">
        <v>21</v>
      </c>
      <c r="C3" s="16">
        <v>0</v>
      </c>
    </row>
    <row r="4" spans="1:4" ht="19.5" customHeight="1" x14ac:dyDescent="0.25">
      <c r="A4" s="19"/>
      <c r="B4" s="148"/>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dimension ref="A1:I328"/>
  <sheetViews>
    <sheetView tabSelected="1" topLeftCell="A301" zoomScaleNormal="100" workbookViewId="0">
      <selection activeCell="C325" sqref="C325"/>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43710</v>
      </c>
    </row>
    <row r="2" spans="1:4" ht="27.75" thickBot="1" x14ac:dyDescent="0.3">
      <c r="A2" s="92" t="s">
        <v>3</v>
      </c>
      <c r="B2" s="93" t="s">
        <v>15</v>
      </c>
      <c r="C2" s="92" t="s">
        <v>7</v>
      </c>
      <c r="D2" s="92" t="s">
        <v>13</v>
      </c>
    </row>
    <row r="3" spans="1:4" s="53" customFormat="1" ht="17.25" thickTop="1" x14ac:dyDescent="0.25">
      <c r="A3" s="97" t="s">
        <v>40</v>
      </c>
      <c r="B3" s="98">
        <v>3</v>
      </c>
      <c r="C3" s="99" t="s">
        <v>41</v>
      </c>
      <c r="D3" s="100"/>
    </row>
    <row r="4" spans="1:4" s="53" customFormat="1" ht="16.5" x14ac:dyDescent="0.25">
      <c r="A4" s="101" t="s">
        <v>40</v>
      </c>
      <c r="B4" s="102">
        <v>8</v>
      </c>
      <c r="C4" s="103" t="s">
        <v>42</v>
      </c>
      <c r="D4" s="104"/>
    </row>
    <row r="5" spans="1:4" s="53" customFormat="1" ht="16.5" x14ac:dyDescent="0.25">
      <c r="A5" s="101" t="s">
        <v>30</v>
      </c>
      <c r="B5" s="102">
        <v>1</v>
      </c>
      <c r="C5" s="103" t="s">
        <v>50</v>
      </c>
      <c r="D5" s="104"/>
    </row>
    <row r="6" spans="1:4" s="53" customFormat="1" ht="16.5" x14ac:dyDescent="0.25">
      <c r="A6" s="105" t="s">
        <v>40</v>
      </c>
      <c r="B6" s="106">
        <v>12</v>
      </c>
      <c r="C6" s="107" t="s">
        <v>119</v>
      </c>
      <c r="D6" s="108"/>
    </row>
    <row r="7" spans="1:4" s="53" customFormat="1" ht="16.5" x14ac:dyDescent="0.25">
      <c r="A7" s="105"/>
      <c r="B7" s="106"/>
      <c r="C7" s="107"/>
      <c r="D7" s="108"/>
    </row>
    <row r="8" spans="1:4" s="53" customFormat="1" ht="16.5" x14ac:dyDescent="0.25">
      <c r="A8" s="105"/>
      <c r="B8" s="106"/>
      <c r="C8" s="107"/>
      <c r="D8" s="108"/>
    </row>
    <row r="9" spans="1:4" s="53" customFormat="1" ht="16.5" x14ac:dyDescent="0.25">
      <c r="A9" s="105"/>
      <c r="B9" s="106"/>
      <c r="C9" s="107"/>
      <c r="D9" s="108"/>
    </row>
    <row r="10" spans="1:4" s="53" customFormat="1" ht="16.5" x14ac:dyDescent="0.25">
      <c r="A10" s="109" t="s">
        <v>40</v>
      </c>
      <c r="B10" s="110">
        <v>12</v>
      </c>
      <c r="C10" s="111" t="s">
        <v>43</v>
      </c>
      <c r="D10" s="112"/>
    </row>
    <row r="11" spans="1:4" s="53" customFormat="1" ht="16.5" x14ac:dyDescent="0.25">
      <c r="A11" s="109"/>
      <c r="B11" s="110"/>
      <c r="C11" s="111"/>
      <c r="D11" s="112"/>
    </row>
    <row r="12" spans="1:4" s="53" customFormat="1" ht="16.5" x14ac:dyDescent="0.25">
      <c r="A12" s="109"/>
      <c r="B12" s="110"/>
      <c r="C12" s="111"/>
      <c r="D12" s="112"/>
    </row>
    <row r="13" spans="1:4" s="53" customFormat="1" ht="16.5" x14ac:dyDescent="0.25">
      <c r="A13" s="109"/>
      <c r="B13" s="110"/>
      <c r="C13" s="111"/>
      <c r="D13" s="112"/>
    </row>
    <row r="14" spans="1:4" s="53" customFormat="1" ht="33" x14ac:dyDescent="0.25">
      <c r="A14" s="113" t="s">
        <v>31</v>
      </c>
      <c r="B14" s="114">
        <v>12</v>
      </c>
      <c r="C14" s="115" t="s">
        <v>52</v>
      </c>
      <c r="D14" s="116"/>
    </row>
    <row r="15" spans="1:4" s="53" customFormat="1" ht="16.5" x14ac:dyDescent="0.25">
      <c r="A15" s="113" t="s">
        <v>6</v>
      </c>
      <c r="B15" s="114"/>
      <c r="C15" s="115"/>
      <c r="D15" s="116"/>
    </row>
    <row r="16" spans="1:4" s="53" customFormat="1" ht="16.5" x14ac:dyDescent="0.25">
      <c r="A16" s="113"/>
      <c r="B16" s="114"/>
      <c r="C16" s="115"/>
      <c r="D16" s="116"/>
    </row>
    <row r="17" spans="1:9" s="53" customFormat="1" ht="17.25" thickBot="1" x14ac:dyDescent="0.3">
      <c r="A17" s="117"/>
      <c r="B17" s="118"/>
      <c r="C17" s="119"/>
      <c r="D17" s="120"/>
    </row>
    <row r="18" spans="1:9" ht="15" thickTop="1" thickBot="1" x14ac:dyDescent="0.3">
      <c r="A18" s="94" t="s">
        <v>22</v>
      </c>
      <c r="B18" s="94">
        <f>SUM(B3:B17)</f>
        <v>48</v>
      </c>
      <c r="C18" s="95" t="s">
        <v>28</v>
      </c>
      <c r="D18" s="96"/>
    </row>
    <row r="19" spans="1:9" ht="15" thickBot="1" x14ac:dyDescent="0.35">
      <c r="A19" s="50"/>
      <c r="B19" s="50"/>
      <c r="C19" s="50"/>
      <c r="D19" s="50"/>
    </row>
    <row r="20" spans="1:9" ht="18.75" thickBot="1" x14ac:dyDescent="0.3">
      <c r="A20" s="43" t="s">
        <v>14</v>
      </c>
      <c r="B20" s="44">
        <v>2</v>
      </c>
      <c r="C20" s="45" t="s">
        <v>23</v>
      </c>
      <c r="D20" s="54">
        <f>$D$1+7</f>
        <v>43717</v>
      </c>
    </row>
    <row r="21" spans="1:9" ht="27.75" thickBot="1" x14ac:dyDescent="0.3">
      <c r="A21" s="46" t="s">
        <v>3</v>
      </c>
      <c r="B21" s="47" t="s">
        <v>15</v>
      </c>
      <c r="C21" s="46" t="s">
        <v>7</v>
      </c>
      <c r="D21" s="46" t="s">
        <v>13</v>
      </c>
    </row>
    <row r="22" spans="1:9" ht="33.75" thickTop="1" x14ac:dyDescent="0.25">
      <c r="A22" s="97" t="s">
        <v>38</v>
      </c>
      <c r="B22" s="98">
        <v>11</v>
      </c>
      <c r="C22" s="99" t="s">
        <v>47</v>
      </c>
      <c r="D22" s="100"/>
    </row>
    <row r="23" spans="1:9" ht="16.5" x14ac:dyDescent="0.25">
      <c r="A23" s="101" t="s">
        <v>30</v>
      </c>
      <c r="B23" s="102">
        <v>1</v>
      </c>
      <c r="C23" s="103" t="s">
        <v>50</v>
      </c>
      <c r="D23" s="104"/>
    </row>
    <row r="24" spans="1:9" ht="16.5" x14ac:dyDescent="0.25">
      <c r="A24" s="101"/>
      <c r="B24" s="102"/>
      <c r="C24" s="103"/>
      <c r="D24" s="104"/>
      <c r="E24" s="20"/>
      <c r="F24" s="20"/>
      <c r="G24" s="20"/>
      <c r="H24" s="20"/>
      <c r="I24" s="20"/>
    </row>
    <row r="25" spans="1:9" ht="12.75" customHeight="1" x14ac:dyDescent="0.25">
      <c r="A25" s="105" t="s">
        <v>37</v>
      </c>
      <c r="B25" s="106">
        <v>6</v>
      </c>
      <c r="C25" s="107" t="s">
        <v>120</v>
      </c>
      <c r="D25" s="108"/>
      <c r="E25" s="20"/>
      <c r="F25" s="32"/>
      <c r="G25" s="33"/>
      <c r="H25" s="34"/>
      <c r="I25" s="20"/>
    </row>
    <row r="26" spans="1:9" ht="33" x14ac:dyDescent="0.25">
      <c r="A26" s="105" t="s">
        <v>40</v>
      </c>
      <c r="B26" s="106">
        <v>6</v>
      </c>
      <c r="C26" s="107" t="s">
        <v>121</v>
      </c>
      <c r="D26" s="108"/>
      <c r="E26" s="20"/>
      <c r="F26" s="35"/>
      <c r="G26" s="31"/>
      <c r="H26" s="31"/>
      <c r="I26" s="20"/>
    </row>
    <row r="27" spans="1:9" ht="16.5" x14ac:dyDescent="0.25">
      <c r="A27" s="105"/>
      <c r="B27" s="106"/>
      <c r="C27" s="107"/>
      <c r="D27" s="108"/>
      <c r="E27" s="20"/>
      <c r="F27" s="37"/>
      <c r="G27" s="38"/>
      <c r="H27" s="38"/>
      <c r="I27" s="20"/>
    </row>
    <row r="28" spans="1:9" ht="16.5" x14ac:dyDescent="0.25">
      <c r="A28" s="105"/>
      <c r="B28" s="106"/>
      <c r="C28" s="107"/>
      <c r="D28" s="108"/>
      <c r="E28" s="20"/>
      <c r="F28" s="37"/>
      <c r="G28" s="38"/>
      <c r="H28" s="38"/>
      <c r="I28" s="20"/>
    </row>
    <row r="29" spans="1:9" ht="33" x14ac:dyDescent="0.25">
      <c r="A29" s="109" t="s">
        <v>37</v>
      </c>
      <c r="B29" s="110">
        <v>10</v>
      </c>
      <c r="C29" s="110" t="s">
        <v>44</v>
      </c>
      <c r="D29" s="133" t="s">
        <v>45</v>
      </c>
      <c r="E29" s="20"/>
      <c r="F29" s="37"/>
      <c r="G29" s="38"/>
      <c r="H29" s="38"/>
      <c r="I29" s="20"/>
    </row>
    <row r="30" spans="1:9" ht="16.5" x14ac:dyDescent="0.25">
      <c r="A30" s="109"/>
      <c r="B30" s="110"/>
      <c r="C30" s="111"/>
      <c r="D30" s="112"/>
      <c r="E30" s="20"/>
      <c r="F30" s="37"/>
      <c r="G30" s="38"/>
      <c r="H30" s="38"/>
      <c r="I30" s="20"/>
    </row>
    <row r="31" spans="1:9" ht="16.5" x14ac:dyDescent="0.25">
      <c r="A31" s="109"/>
      <c r="B31" s="110"/>
      <c r="C31" s="111"/>
      <c r="D31" s="112"/>
      <c r="E31" s="20"/>
      <c r="F31" s="37"/>
      <c r="G31" s="38"/>
      <c r="H31" s="38"/>
      <c r="I31" s="20"/>
    </row>
    <row r="32" spans="1:9" ht="16.5" x14ac:dyDescent="0.25">
      <c r="A32" s="109"/>
      <c r="B32" s="110"/>
      <c r="C32" s="111"/>
      <c r="D32" s="112"/>
      <c r="E32" s="20"/>
      <c r="F32" s="37"/>
      <c r="G32" s="38"/>
      <c r="H32" s="38"/>
      <c r="I32" s="20"/>
    </row>
    <row r="33" spans="1:9" ht="33" x14ac:dyDescent="0.25">
      <c r="A33" s="113" t="s">
        <v>21</v>
      </c>
      <c r="B33" s="114">
        <v>12</v>
      </c>
      <c r="C33" s="115" t="s">
        <v>51</v>
      </c>
      <c r="D33" s="116"/>
      <c r="E33" s="20"/>
      <c r="F33" s="37"/>
      <c r="G33" s="38"/>
      <c r="H33" s="38"/>
      <c r="I33" s="20"/>
    </row>
    <row r="34" spans="1:9" ht="16.5" x14ac:dyDescent="0.25">
      <c r="A34" s="113" t="s">
        <v>6</v>
      </c>
      <c r="B34" s="114"/>
      <c r="C34" s="115"/>
      <c r="D34" s="116"/>
      <c r="E34" s="20"/>
      <c r="F34" s="37"/>
      <c r="G34" s="38"/>
      <c r="H34" s="38"/>
      <c r="I34" s="20"/>
    </row>
    <row r="35" spans="1:9" ht="16.5" x14ac:dyDescent="0.25">
      <c r="A35" s="113"/>
      <c r="B35" s="114"/>
      <c r="C35" s="115"/>
      <c r="D35" s="116"/>
      <c r="E35" s="20"/>
      <c r="F35" s="39"/>
      <c r="G35" s="40"/>
      <c r="H35" s="40"/>
      <c r="I35" s="20"/>
    </row>
    <row r="36" spans="1:9" ht="17.25" thickBot="1" x14ac:dyDescent="0.35">
      <c r="A36" s="117"/>
      <c r="B36" s="118"/>
      <c r="C36" s="119"/>
      <c r="D36" s="120"/>
      <c r="E36" s="20"/>
      <c r="F36" s="41"/>
      <c r="G36" s="41"/>
      <c r="H36" s="41"/>
      <c r="I36" s="20"/>
    </row>
    <row r="37" spans="1:9" ht="15" thickTop="1" thickBot="1" x14ac:dyDescent="0.3">
      <c r="A37" s="48" t="s">
        <v>22</v>
      </c>
      <c r="B37" s="48">
        <f>SUM(B22:B36)</f>
        <v>46</v>
      </c>
      <c r="C37" s="89" t="s">
        <v>28</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43724</v>
      </c>
      <c r="E39" s="20"/>
      <c r="F39" s="20"/>
      <c r="G39" s="20"/>
      <c r="H39" s="20"/>
      <c r="I39" s="20"/>
    </row>
    <row r="40" spans="1:9" ht="27.75" thickBot="1" x14ac:dyDescent="0.3">
      <c r="A40" s="46" t="s">
        <v>3</v>
      </c>
      <c r="B40" s="47" t="s">
        <v>15</v>
      </c>
      <c r="C40" s="46" t="s">
        <v>7</v>
      </c>
      <c r="D40" s="46" t="s">
        <v>13</v>
      </c>
    </row>
    <row r="41" spans="1:9" ht="33.75" thickTop="1" x14ac:dyDescent="0.25">
      <c r="A41" s="97" t="s">
        <v>21</v>
      </c>
      <c r="B41" s="98">
        <v>48</v>
      </c>
      <c r="C41" s="99" t="s">
        <v>46</v>
      </c>
      <c r="D41" s="100"/>
    </row>
    <row r="42" spans="1:9" ht="16.5" x14ac:dyDescent="0.25">
      <c r="A42" s="101"/>
      <c r="B42" s="102"/>
      <c r="C42" s="103"/>
      <c r="D42" s="104"/>
    </row>
    <row r="43" spans="1:9" ht="16.5" x14ac:dyDescent="0.25">
      <c r="A43" s="101"/>
      <c r="B43" s="102"/>
      <c r="C43" s="103"/>
      <c r="D43" s="104"/>
    </row>
    <row r="44" spans="1:9" ht="16.5" x14ac:dyDescent="0.25">
      <c r="A44" s="105"/>
      <c r="B44" s="106"/>
      <c r="C44" s="107"/>
      <c r="D44" s="108"/>
    </row>
    <row r="45" spans="1:9" ht="16.5" x14ac:dyDescent="0.25">
      <c r="A45" s="105"/>
      <c r="B45" s="106"/>
      <c r="C45" s="107"/>
      <c r="D45" s="108"/>
    </row>
    <row r="46" spans="1:9" ht="16.5" x14ac:dyDescent="0.25">
      <c r="A46" s="105"/>
      <c r="B46" s="106"/>
      <c r="C46" s="107"/>
      <c r="D46" s="108"/>
    </row>
    <row r="47" spans="1:9" ht="16.5" x14ac:dyDescent="0.25">
      <c r="A47" s="105"/>
      <c r="B47" s="106"/>
      <c r="C47" s="107"/>
      <c r="D47" s="108"/>
    </row>
    <row r="48" spans="1:9" ht="16.5" x14ac:dyDescent="0.25">
      <c r="A48" s="109"/>
      <c r="B48" s="110"/>
      <c r="C48" s="111"/>
      <c r="D48" s="112"/>
    </row>
    <row r="49" spans="1:4" ht="16.5" x14ac:dyDescent="0.25">
      <c r="A49" s="109"/>
      <c r="B49" s="110"/>
      <c r="C49" s="111"/>
      <c r="D49" s="112"/>
    </row>
    <row r="50" spans="1:4" ht="16.5" x14ac:dyDescent="0.25">
      <c r="A50" s="109"/>
      <c r="B50" s="110"/>
      <c r="C50" s="111"/>
      <c r="D50" s="112"/>
    </row>
    <row r="51" spans="1:4" ht="16.5" x14ac:dyDescent="0.25">
      <c r="A51" s="109"/>
      <c r="B51" s="110"/>
      <c r="C51" s="111"/>
      <c r="D51" s="112"/>
    </row>
    <row r="52" spans="1:4" ht="16.5" x14ac:dyDescent="0.25">
      <c r="A52" s="113"/>
      <c r="B52" s="114"/>
      <c r="C52" s="115"/>
      <c r="D52" s="116"/>
    </row>
    <row r="53" spans="1:4" ht="16.5" x14ac:dyDescent="0.25">
      <c r="A53" s="113" t="s">
        <v>6</v>
      </c>
      <c r="B53" s="114"/>
      <c r="C53" s="115"/>
      <c r="D53" s="116"/>
    </row>
    <row r="54" spans="1:4" ht="16.5" x14ac:dyDescent="0.25">
      <c r="A54" s="113"/>
      <c r="B54" s="114"/>
      <c r="C54" s="115"/>
      <c r="D54" s="116"/>
    </row>
    <row r="55" spans="1:4" ht="17.25" thickBot="1" x14ac:dyDescent="0.3">
      <c r="A55" s="117"/>
      <c r="B55" s="118"/>
      <c r="C55" s="119"/>
      <c r="D55" s="120"/>
    </row>
    <row r="56" spans="1:4" ht="15" thickTop="1" thickBot="1" x14ac:dyDescent="0.3">
      <c r="A56" s="48" t="s">
        <v>22</v>
      </c>
      <c r="B56" s="48">
        <f>SUM(B41:B55)</f>
        <v>48</v>
      </c>
      <c r="C56" s="89" t="s">
        <v>28</v>
      </c>
      <c r="D56" s="49"/>
    </row>
    <row r="57" spans="1:4" ht="15" thickBot="1" x14ac:dyDescent="0.35">
      <c r="A57" s="50"/>
      <c r="B57" s="50"/>
      <c r="C57" s="50"/>
      <c r="D57" s="50"/>
    </row>
    <row r="58" spans="1:4" ht="18.75" thickBot="1" x14ac:dyDescent="0.3">
      <c r="A58" s="43" t="s">
        <v>14</v>
      </c>
      <c r="B58" s="44">
        <v>4</v>
      </c>
      <c r="C58" s="45" t="s">
        <v>23</v>
      </c>
      <c r="D58" s="54">
        <f>$D$39+7</f>
        <v>43731</v>
      </c>
    </row>
    <row r="59" spans="1:4" ht="27.75" thickBot="1" x14ac:dyDescent="0.3">
      <c r="A59" s="46" t="s">
        <v>3</v>
      </c>
      <c r="B59" s="47" t="s">
        <v>15</v>
      </c>
      <c r="C59" s="46" t="s">
        <v>7</v>
      </c>
      <c r="D59" s="46" t="s">
        <v>13</v>
      </c>
    </row>
    <row r="60" spans="1:4" ht="17.25" thickTop="1" x14ac:dyDescent="0.25">
      <c r="A60" s="97" t="s">
        <v>40</v>
      </c>
      <c r="B60" s="98">
        <v>2</v>
      </c>
      <c r="C60" s="99" t="s">
        <v>48</v>
      </c>
      <c r="D60" s="100"/>
    </row>
    <row r="61" spans="1:4" ht="33" x14ac:dyDescent="0.25">
      <c r="A61" s="101" t="s">
        <v>38</v>
      </c>
      <c r="B61" s="102">
        <v>9</v>
      </c>
      <c r="C61" s="103" t="s">
        <v>49</v>
      </c>
      <c r="D61" s="104"/>
    </row>
    <row r="62" spans="1:4" ht="16.5" x14ac:dyDescent="0.25">
      <c r="A62" s="101" t="s">
        <v>30</v>
      </c>
      <c r="B62" s="102">
        <v>1</v>
      </c>
      <c r="C62" s="103" t="s">
        <v>50</v>
      </c>
      <c r="D62" s="104"/>
    </row>
    <row r="63" spans="1:4" ht="33" x14ac:dyDescent="0.25">
      <c r="A63" s="105" t="s">
        <v>21</v>
      </c>
      <c r="B63" s="106">
        <v>12</v>
      </c>
      <c r="C63" s="107" t="s">
        <v>122</v>
      </c>
      <c r="D63" s="108"/>
    </row>
    <row r="64" spans="1:4" ht="16.5" x14ac:dyDescent="0.25">
      <c r="A64" s="105"/>
      <c r="B64" s="106"/>
      <c r="C64" s="107"/>
      <c r="D64" s="108"/>
    </row>
    <row r="65" spans="1:4" ht="16.5" x14ac:dyDescent="0.25">
      <c r="A65" s="105"/>
      <c r="B65" s="106"/>
      <c r="C65" s="107"/>
      <c r="D65" s="108"/>
    </row>
    <row r="66" spans="1:4" ht="16.5" x14ac:dyDescent="0.25">
      <c r="A66" s="105"/>
      <c r="B66" s="106"/>
      <c r="C66" s="107"/>
      <c r="D66" s="108"/>
    </row>
    <row r="67" spans="1:4" ht="33" x14ac:dyDescent="0.25">
      <c r="A67" s="109" t="s">
        <v>21</v>
      </c>
      <c r="B67" s="110">
        <v>1</v>
      </c>
      <c r="C67" s="111" t="s">
        <v>53</v>
      </c>
      <c r="D67" s="112"/>
    </row>
    <row r="68" spans="1:4" ht="33" x14ac:dyDescent="0.25">
      <c r="A68" s="109" t="s">
        <v>21</v>
      </c>
      <c r="B68" s="110">
        <v>3</v>
      </c>
      <c r="C68" s="111" t="s">
        <v>54</v>
      </c>
      <c r="D68" s="112"/>
    </row>
    <row r="69" spans="1:4" ht="33" x14ac:dyDescent="0.25">
      <c r="A69" s="109" t="s">
        <v>33</v>
      </c>
      <c r="B69" s="110">
        <v>8</v>
      </c>
      <c r="C69" s="111" t="s">
        <v>56</v>
      </c>
      <c r="D69" s="112"/>
    </row>
    <row r="70" spans="1:4" ht="16.5" x14ac:dyDescent="0.25">
      <c r="A70" s="109"/>
      <c r="B70" s="110"/>
      <c r="C70" s="111"/>
      <c r="D70" s="112"/>
    </row>
    <row r="71" spans="1:4" ht="49.5" x14ac:dyDescent="0.25">
      <c r="A71" s="113" t="s">
        <v>40</v>
      </c>
      <c r="B71" s="114">
        <v>11</v>
      </c>
      <c r="C71" s="115" t="s">
        <v>55</v>
      </c>
      <c r="D71" s="134"/>
    </row>
    <row r="72" spans="1:4" ht="16.5" x14ac:dyDescent="0.25">
      <c r="A72" s="113" t="s">
        <v>30</v>
      </c>
      <c r="B72" s="114">
        <v>1</v>
      </c>
      <c r="C72" s="115"/>
      <c r="D72" s="116"/>
    </row>
    <row r="73" spans="1:4" ht="16.5" x14ac:dyDescent="0.25">
      <c r="A73" s="113"/>
      <c r="B73" s="114"/>
      <c r="C73" s="115"/>
      <c r="D73" s="116"/>
    </row>
    <row r="74" spans="1:4" ht="17.25" thickBot="1" x14ac:dyDescent="0.3">
      <c r="A74" s="117"/>
      <c r="B74" s="118"/>
      <c r="C74" s="119"/>
      <c r="D74" s="120"/>
    </row>
    <row r="75" spans="1:4" ht="15" thickTop="1" thickBot="1" x14ac:dyDescent="0.3">
      <c r="A75" s="48" t="s">
        <v>22</v>
      </c>
      <c r="B75" s="48">
        <f>SUM(B60:B74)</f>
        <v>48</v>
      </c>
      <c r="C75" s="89" t="s">
        <v>28</v>
      </c>
      <c r="D75" s="49"/>
    </row>
    <row r="76" spans="1:4" ht="15" thickBot="1" x14ac:dyDescent="0.35">
      <c r="A76" s="50"/>
      <c r="B76" s="50"/>
      <c r="C76" s="50"/>
      <c r="D76" s="50"/>
    </row>
    <row r="77" spans="1:4" ht="18.75" thickBot="1" x14ac:dyDescent="0.3">
      <c r="A77" s="43" t="s">
        <v>14</v>
      </c>
      <c r="B77" s="44">
        <v>5</v>
      </c>
      <c r="C77" s="45" t="s">
        <v>23</v>
      </c>
      <c r="D77" s="54">
        <f>$D$58+7</f>
        <v>43738</v>
      </c>
    </row>
    <row r="78" spans="1:4" ht="27.75" thickBot="1" x14ac:dyDescent="0.3">
      <c r="A78" s="46" t="s">
        <v>3</v>
      </c>
      <c r="B78" s="47" t="s">
        <v>15</v>
      </c>
      <c r="C78" s="46" t="s">
        <v>7</v>
      </c>
      <c r="D78" s="46" t="s">
        <v>13</v>
      </c>
    </row>
    <row r="79" spans="1:4" ht="33.75" thickTop="1" x14ac:dyDescent="0.25">
      <c r="A79" s="97" t="s">
        <v>38</v>
      </c>
      <c r="B79" s="98">
        <v>7</v>
      </c>
      <c r="C79" s="99" t="s">
        <v>57</v>
      </c>
      <c r="D79" s="100"/>
    </row>
    <row r="80" spans="1:4" ht="16.5" x14ac:dyDescent="0.25">
      <c r="A80" s="101" t="s">
        <v>31</v>
      </c>
      <c r="B80" s="102">
        <v>4</v>
      </c>
      <c r="C80" s="103" t="s">
        <v>58</v>
      </c>
      <c r="D80" s="104"/>
    </row>
    <row r="81" spans="1:4" ht="16.5" x14ac:dyDescent="0.25">
      <c r="A81" s="101" t="s">
        <v>30</v>
      </c>
      <c r="B81" s="102">
        <v>1</v>
      </c>
      <c r="C81" s="103" t="s">
        <v>50</v>
      </c>
      <c r="D81" s="104"/>
    </row>
    <row r="82" spans="1:4" ht="16.5" x14ac:dyDescent="0.25">
      <c r="A82" s="105" t="s">
        <v>36</v>
      </c>
      <c r="B82" s="106">
        <v>6</v>
      </c>
      <c r="C82" s="107" t="s">
        <v>123</v>
      </c>
      <c r="D82" s="108"/>
    </row>
    <row r="83" spans="1:4" ht="16.5" x14ac:dyDescent="0.25">
      <c r="A83" s="105" t="s">
        <v>32</v>
      </c>
      <c r="B83" s="106">
        <v>6</v>
      </c>
      <c r="C83" s="107" t="s">
        <v>124</v>
      </c>
      <c r="D83" s="108"/>
    </row>
    <row r="84" spans="1:4" ht="16.5" x14ac:dyDescent="0.25">
      <c r="A84" s="105"/>
      <c r="B84" s="106"/>
      <c r="C84" s="107"/>
      <c r="D84" s="108"/>
    </row>
    <row r="85" spans="1:4" ht="16.5" x14ac:dyDescent="0.25">
      <c r="A85" s="105"/>
      <c r="B85" s="106"/>
      <c r="C85" s="107"/>
      <c r="D85" s="108"/>
    </row>
    <row r="86" spans="1:4" ht="33" x14ac:dyDescent="0.25">
      <c r="A86" s="109" t="s">
        <v>34</v>
      </c>
      <c r="B86" s="110">
        <v>6</v>
      </c>
      <c r="C86" s="111" t="s">
        <v>60</v>
      </c>
      <c r="D86" s="112"/>
    </row>
    <row r="87" spans="1:4" ht="33" x14ac:dyDescent="0.25">
      <c r="A87" s="109" t="s">
        <v>31</v>
      </c>
      <c r="B87" s="110">
        <v>5</v>
      </c>
      <c r="C87" s="111" t="s">
        <v>61</v>
      </c>
      <c r="D87" s="112"/>
    </row>
    <row r="88" spans="1:4" ht="16.5" x14ac:dyDescent="0.25">
      <c r="A88" s="109" t="s">
        <v>30</v>
      </c>
      <c r="B88" s="110">
        <v>1</v>
      </c>
      <c r="C88" s="111" t="s">
        <v>50</v>
      </c>
      <c r="D88" s="112"/>
    </row>
    <row r="89" spans="1:4" ht="16.5" x14ac:dyDescent="0.25">
      <c r="A89" s="109"/>
      <c r="B89" s="110"/>
      <c r="C89" s="111"/>
      <c r="D89" s="112"/>
    </row>
    <row r="90" spans="1:4" ht="33" x14ac:dyDescent="0.25">
      <c r="A90" s="113" t="s">
        <v>38</v>
      </c>
      <c r="B90" s="114">
        <v>11</v>
      </c>
      <c r="C90" s="115" t="s">
        <v>59</v>
      </c>
      <c r="D90" s="116"/>
    </row>
    <row r="91" spans="1:4" ht="16.5" x14ac:dyDescent="0.25">
      <c r="A91" s="113" t="s">
        <v>30</v>
      </c>
      <c r="B91" s="114">
        <v>1</v>
      </c>
      <c r="C91" s="115" t="s">
        <v>50</v>
      </c>
      <c r="D91" s="116"/>
    </row>
    <row r="92" spans="1:4" ht="16.5" x14ac:dyDescent="0.25">
      <c r="A92" s="113"/>
      <c r="B92" s="114"/>
      <c r="C92" s="115"/>
      <c r="D92" s="116"/>
    </row>
    <row r="93" spans="1:4" ht="17.25" thickBot="1" x14ac:dyDescent="0.3">
      <c r="A93" s="117"/>
      <c r="B93" s="118"/>
      <c r="C93" s="119"/>
      <c r="D93" s="120"/>
    </row>
    <row r="94" spans="1:4" ht="15" thickTop="1" thickBot="1" x14ac:dyDescent="0.3">
      <c r="A94" s="48" t="s">
        <v>22</v>
      </c>
      <c r="B94" s="48">
        <f>SUM(B79:B93)</f>
        <v>48</v>
      </c>
      <c r="C94" s="89" t="s">
        <v>28</v>
      </c>
      <c r="D94" s="49"/>
    </row>
    <row r="95" spans="1:4" ht="15" thickBot="1" x14ac:dyDescent="0.35">
      <c r="A95" s="50"/>
      <c r="B95" s="50"/>
      <c r="C95" s="50"/>
      <c r="D95" s="50"/>
    </row>
    <row r="96" spans="1:4" ht="18.75" thickBot="1" x14ac:dyDescent="0.3">
      <c r="A96" s="43" t="s">
        <v>14</v>
      </c>
      <c r="B96" s="44">
        <v>6</v>
      </c>
      <c r="C96" s="45" t="s">
        <v>23</v>
      </c>
      <c r="D96" s="54">
        <f>$D$77+7</f>
        <v>43745</v>
      </c>
    </row>
    <row r="97" spans="1:4" ht="27.75" thickBot="1" x14ac:dyDescent="0.3">
      <c r="A97" s="46" t="s">
        <v>3</v>
      </c>
      <c r="B97" s="47" t="s">
        <v>15</v>
      </c>
      <c r="C97" s="46" t="s">
        <v>7</v>
      </c>
      <c r="D97" s="46" t="s">
        <v>13</v>
      </c>
    </row>
    <row r="98" spans="1:4" ht="17.25" thickTop="1" x14ac:dyDescent="0.3">
      <c r="A98" s="97" t="s">
        <v>31</v>
      </c>
      <c r="B98" s="98">
        <v>4</v>
      </c>
      <c r="C98" s="99" t="s">
        <v>63</v>
      </c>
      <c r="D98" s="135" t="s">
        <v>62</v>
      </c>
    </row>
    <row r="99" spans="1:4" ht="16.5" x14ac:dyDescent="0.25">
      <c r="A99" s="101" t="s">
        <v>34</v>
      </c>
      <c r="B99" s="102">
        <v>4</v>
      </c>
      <c r="C99" s="103" t="s">
        <v>64</v>
      </c>
      <c r="D99" s="104"/>
    </row>
    <row r="100" spans="1:4" ht="33" x14ac:dyDescent="0.25">
      <c r="A100" s="101" t="s">
        <v>36</v>
      </c>
      <c r="B100" s="102">
        <v>4</v>
      </c>
      <c r="C100" s="103" t="s">
        <v>65</v>
      </c>
      <c r="D100" s="104"/>
    </row>
    <row r="101" spans="1:4" ht="33" x14ac:dyDescent="0.25">
      <c r="A101" s="105" t="s">
        <v>36</v>
      </c>
      <c r="B101" s="106">
        <v>6</v>
      </c>
      <c r="C101" s="107" t="s">
        <v>125</v>
      </c>
      <c r="D101" s="108"/>
    </row>
    <row r="102" spans="1:4" ht="16.5" x14ac:dyDescent="0.25">
      <c r="A102" s="105" t="s">
        <v>34</v>
      </c>
      <c r="B102" s="106">
        <v>6</v>
      </c>
      <c r="C102" s="107" t="s">
        <v>126</v>
      </c>
      <c r="D102" s="108"/>
    </row>
    <row r="103" spans="1:4" ht="16.5" x14ac:dyDescent="0.25">
      <c r="A103" s="105"/>
      <c r="B103" s="106"/>
      <c r="C103" s="107"/>
      <c r="D103" s="108"/>
    </row>
    <row r="104" spans="1:4" ht="16.5" x14ac:dyDescent="0.25">
      <c r="A104" s="105"/>
      <c r="B104" s="106"/>
      <c r="C104" s="107"/>
      <c r="D104" s="108"/>
    </row>
    <row r="105" spans="1:4" ht="33" x14ac:dyDescent="0.25">
      <c r="A105" s="109" t="s">
        <v>21</v>
      </c>
      <c r="B105" s="110">
        <v>12</v>
      </c>
      <c r="C105" s="111" t="s">
        <v>68</v>
      </c>
      <c r="D105" s="112"/>
    </row>
    <row r="106" spans="1:4" ht="16.5" x14ac:dyDescent="0.25">
      <c r="A106" s="109"/>
      <c r="B106" s="110"/>
      <c r="C106" s="111"/>
      <c r="D106" s="112"/>
    </row>
    <row r="107" spans="1:4" ht="16.5" x14ac:dyDescent="0.25">
      <c r="A107" s="109"/>
      <c r="B107" s="110"/>
      <c r="C107" s="111"/>
      <c r="D107" s="112"/>
    </row>
    <row r="108" spans="1:4" ht="16.5" x14ac:dyDescent="0.25">
      <c r="A108" s="109"/>
      <c r="B108" s="110"/>
      <c r="C108" s="111"/>
      <c r="D108" s="112"/>
    </row>
    <row r="109" spans="1:4" ht="16.5" x14ac:dyDescent="0.25">
      <c r="A109" s="113" t="s">
        <v>38</v>
      </c>
      <c r="B109" s="114">
        <v>12</v>
      </c>
      <c r="C109" s="115" t="s">
        <v>86</v>
      </c>
      <c r="D109" s="116"/>
    </row>
    <row r="110" spans="1:4" ht="16.5" x14ac:dyDescent="0.25">
      <c r="A110" s="113" t="s">
        <v>6</v>
      </c>
      <c r="B110" s="114"/>
      <c r="C110" s="115"/>
      <c r="D110" s="116"/>
    </row>
    <row r="111" spans="1:4" ht="16.5" x14ac:dyDescent="0.25">
      <c r="A111" s="113"/>
      <c r="B111" s="114"/>
      <c r="C111" s="115"/>
      <c r="D111" s="116"/>
    </row>
    <row r="112" spans="1:4" ht="17.25" thickBot="1" x14ac:dyDescent="0.3">
      <c r="A112" s="117"/>
      <c r="B112" s="118"/>
      <c r="C112" s="119"/>
      <c r="D112" s="120"/>
    </row>
    <row r="113" spans="1:4" ht="15" thickTop="1" thickBot="1" x14ac:dyDescent="0.3">
      <c r="A113" s="48" t="s">
        <v>22</v>
      </c>
      <c r="B113" s="48">
        <f>SUM(B98:B112)</f>
        <v>48</v>
      </c>
      <c r="C113" s="89" t="s">
        <v>28</v>
      </c>
      <c r="D113" s="49"/>
    </row>
    <row r="114" spans="1:4" ht="15" thickBot="1" x14ac:dyDescent="0.35">
      <c r="A114" s="50"/>
      <c r="B114" s="50"/>
      <c r="C114" s="50"/>
      <c r="D114" s="50"/>
    </row>
    <row r="115" spans="1:4" ht="18.75" thickBot="1" x14ac:dyDescent="0.3">
      <c r="A115" s="43" t="s">
        <v>14</v>
      </c>
      <c r="B115" s="44">
        <v>7</v>
      </c>
      <c r="C115" s="45" t="s">
        <v>23</v>
      </c>
      <c r="D115" s="54">
        <f>$D$96+7</f>
        <v>43752</v>
      </c>
    </row>
    <row r="116" spans="1:4" ht="27.75" thickBot="1" x14ac:dyDescent="0.3">
      <c r="A116" s="46" t="s">
        <v>3</v>
      </c>
      <c r="B116" s="47" t="s">
        <v>15</v>
      </c>
      <c r="C116" s="46" t="s">
        <v>7</v>
      </c>
      <c r="D116" s="46" t="s">
        <v>13</v>
      </c>
    </row>
    <row r="117" spans="1:4" ht="33.75" thickTop="1" x14ac:dyDescent="0.25">
      <c r="A117" s="97" t="s">
        <v>21</v>
      </c>
      <c r="B117" s="98">
        <v>12</v>
      </c>
      <c r="C117" s="98" t="s">
        <v>66</v>
      </c>
      <c r="D117" s="100"/>
    </row>
    <row r="118" spans="1:4" ht="16.5" x14ac:dyDescent="0.25">
      <c r="A118" s="101"/>
      <c r="B118" s="102"/>
      <c r="C118" s="102"/>
      <c r="D118" s="104"/>
    </row>
    <row r="119" spans="1:4" ht="16.5" x14ac:dyDescent="0.25">
      <c r="A119" s="101"/>
      <c r="B119" s="102"/>
      <c r="C119" s="102"/>
      <c r="D119" s="104"/>
    </row>
    <row r="120" spans="1:4" ht="33" x14ac:dyDescent="0.25">
      <c r="A120" s="105" t="s">
        <v>21</v>
      </c>
      <c r="B120" s="106">
        <v>12</v>
      </c>
      <c r="C120" s="106" t="s">
        <v>66</v>
      </c>
      <c r="D120" s="108"/>
    </row>
    <row r="121" spans="1:4" ht="16.5" x14ac:dyDescent="0.25">
      <c r="A121" s="105"/>
      <c r="B121" s="106"/>
      <c r="C121" s="106"/>
      <c r="D121" s="108"/>
    </row>
    <row r="122" spans="1:4" ht="16.5" x14ac:dyDescent="0.25">
      <c r="A122" s="105"/>
      <c r="B122" s="106"/>
      <c r="C122" s="106"/>
      <c r="D122" s="108"/>
    </row>
    <row r="123" spans="1:4" ht="16.5" x14ac:dyDescent="0.25">
      <c r="A123" s="105"/>
      <c r="B123" s="106"/>
      <c r="C123" s="106"/>
      <c r="D123" s="108"/>
    </row>
    <row r="124" spans="1:4" ht="33" x14ac:dyDescent="0.25">
      <c r="A124" s="109" t="s">
        <v>21</v>
      </c>
      <c r="B124" s="110">
        <v>12</v>
      </c>
      <c r="C124" s="110" t="s">
        <v>66</v>
      </c>
      <c r="D124" s="112"/>
    </row>
    <row r="125" spans="1:4" ht="16.5" x14ac:dyDescent="0.25">
      <c r="A125" s="109"/>
      <c r="B125" s="110"/>
      <c r="C125" s="110"/>
      <c r="D125" s="112"/>
    </row>
    <row r="126" spans="1:4" ht="16.5" x14ac:dyDescent="0.25">
      <c r="A126" s="109"/>
      <c r="B126" s="110"/>
      <c r="C126" s="110"/>
      <c r="D126" s="112"/>
    </row>
    <row r="127" spans="1:4" ht="16.5" x14ac:dyDescent="0.25">
      <c r="A127" s="109"/>
      <c r="B127" s="110"/>
      <c r="C127" s="110"/>
      <c r="D127" s="112"/>
    </row>
    <row r="128" spans="1:4" ht="33" x14ac:dyDescent="0.25">
      <c r="A128" s="113" t="s">
        <v>21</v>
      </c>
      <c r="B128" s="114">
        <v>12</v>
      </c>
      <c r="C128" s="114" t="s">
        <v>66</v>
      </c>
      <c r="D128" s="116"/>
    </row>
    <row r="129" spans="1:4" ht="16.5" x14ac:dyDescent="0.25">
      <c r="A129" s="113" t="s">
        <v>6</v>
      </c>
      <c r="B129" s="114"/>
      <c r="C129" s="114"/>
      <c r="D129" s="116"/>
    </row>
    <row r="130" spans="1:4" ht="16.5" x14ac:dyDescent="0.25">
      <c r="A130" s="113"/>
      <c r="B130" s="114"/>
      <c r="C130" s="114"/>
      <c r="D130" s="116"/>
    </row>
    <row r="131" spans="1:4" ht="17.25" thickBot="1" x14ac:dyDescent="0.3">
      <c r="A131" s="117"/>
      <c r="B131" s="118"/>
      <c r="C131" s="118"/>
      <c r="D131" s="120"/>
    </row>
    <row r="132" spans="1:4" ht="15" thickTop="1" thickBot="1" x14ac:dyDescent="0.3">
      <c r="A132" s="48" t="s">
        <v>22</v>
      </c>
      <c r="B132" s="48">
        <f>SUM(B117:B131)</f>
        <v>48</v>
      </c>
      <c r="C132" s="136" t="s">
        <v>28</v>
      </c>
      <c r="D132" s="49"/>
    </row>
    <row r="133" spans="1:4" ht="15" thickBot="1" x14ac:dyDescent="0.35">
      <c r="A133" s="50"/>
      <c r="B133" s="50"/>
      <c r="C133" s="137"/>
      <c r="D133" s="50"/>
    </row>
    <row r="134" spans="1:4" ht="18.75" thickBot="1" x14ac:dyDescent="0.3">
      <c r="A134" s="43" t="s">
        <v>14</v>
      </c>
      <c r="B134" s="44">
        <v>8</v>
      </c>
      <c r="C134" s="43" t="s">
        <v>23</v>
      </c>
      <c r="D134" s="54">
        <f>$D$115+7</f>
        <v>43759</v>
      </c>
    </row>
    <row r="135" spans="1:4" ht="27.75" thickBot="1" x14ac:dyDescent="0.3">
      <c r="A135" s="46" t="s">
        <v>3</v>
      </c>
      <c r="B135" s="47" t="s">
        <v>15</v>
      </c>
      <c r="C135" s="46" t="s">
        <v>7</v>
      </c>
      <c r="D135" s="46" t="s">
        <v>13</v>
      </c>
    </row>
    <row r="136" spans="1:4" ht="33.75" thickTop="1" x14ac:dyDescent="0.25">
      <c r="A136" s="97" t="s">
        <v>21</v>
      </c>
      <c r="B136" s="98">
        <v>12</v>
      </c>
      <c r="C136" s="98" t="s">
        <v>66</v>
      </c>
      <c r="D136" s="100"/>
    </row>
    <row r="137" spans="1:4" ht="16.5" x14ac:dyDescent="0.25">
      <c r="A137" s="101"/>
      <c r="B137" s="102"/>
      <c r="C137" s="102"/>
      <c r="D137" s="104"/>
    </row>
    <row r="138" spans="1:4" ht="16.5" x14ac:dyDescent="0.25">
      <c r="A138" s="101"/>
      <c r="B138" s="102"/>
      <c r="C138" s="102"/>
      <c r="D138" s="104"/>
    </row>
    <row r="139" spans="1:4" ht="33" x14ac:dyDescent="0.25">
      <c r="A139" s="105" t="s">
        <v>21</v>
      </c>
      <c r="B139" s="106">
        <v>12</v>
      </c>
      <c r="C139" s="106" t="s">
        <v>66</v>
      </c>
      <c r="D139" s="108"/>
    </row>
    <row r="140" spans="1:4" ht="16.5" x14ac:dyDescent="0.25">
      <c r="A140" s="105"/>
      <c r="B140" s="106"/>
      <c r="C140" s="106"/>
      <c r="D140" s="108"/>
    </row>
    <row r="141" spans="1:4" ht="16.5" x14ac:dyDescent="0.25">
      <c r="A141" s="105"/>
      <c r="B141" s="106"/>
      <c r="C141" s="106"/>
      <c r="D141" s="108"/>
    </row>
    <row r="142" spans="1:4" ht="16.5" x14ac:dyDescent="0.25">
      <c r="A142" s="105"/>
      <c r="B142" s="106"/>
      <c r="C142" s="106"/>
      <c r="D142" s="108"/>
    </row>
    <row r="143" spans="1:4" ht="33" x14ac:dyDescent="0.25">
      <c r="A143" s="109" t="s">
        <v>21</v>
      </c>
      <c r="B143" s="110">
        <v>12</v>
      </c>
      <c r="C143" s="110" t="s">
        <v>66</v>
      </c>
      <c r="D143" s="112"/>
    </row>
    <row r="144" spans="1:4" ht="16.5" x14ac:dyDescent="0.25">
      <c r="A144" s="109"/>
      <c r="B144" s="110"/>
      <c r="C144" s="110"/>
      <c r="D144" s="112"/>
    </row>
    <row r="145" spans="1:4" ht="16.5" x14ac:dyDescent="0.25">
      <c r="A145" s="109"/>
      <c r="B145" s="110"/>
      <c r="C145" s="110"/>
      <c r="D145" s="112"/>
    </row>
    <row r="146" spans="1:4" ht="16.5" x14ac:dyDescent="0.25">
      <c r="A146" s="109"/>
      <c r="B146" s="110"/>
      <c r="C146" s="110"/>
      <c r="D146" s="112"/>
    </row>
    <row r="147" spans="1:4" ht="33" x14ac:dyDescent="0.25">
      <c r="A147" s="113" t="s">
        <v>21</v>
      </c>
      <c r="B147" s="114">
        <v>12</v>
      </c>
      <c r="C147" s="114" t="s">
        <v>66</v>
      </c>
      <c r="D147" s="116"/>
    </row>
    <row r="148" spans="1:4" ht="16.5" x14ac:dyDescent="0.25">
      <c r="A148" s="113" t="s">
        <v>6</v>
      </c>
      <c r="B148" s="114"/>
      <c r="C148" s="115"/>
      <c r="D148" s="116"/>
    </row>
    <row r="149" spans="1:4" ht="16.5" x14ac:dyDescent="0.25">
      <c r="A149" s="113"/>
      <c r="B149" s="114"/>
      <c r="C149" s="115"/>
      <c r="D149" s="116"/>
    </row>
    <row r="150" spans="1:4" ht="17.25" thickBot="1" x14ac:dyDescent="0.3">
      <c r="A150" s="117"/>
      <c r="B150" s="118"/>
      <c r="C150" s="119"/>
      <c r="D150" s="120"/>
    </row>
    <row r="151" spans="1:4" ht="15" thickTop="1" thickBot="1" x14ac:dyDescent="0.3">
      <c r="A151" s="48" t="s">
        <v>22</v>
      </c>
      <c r="B151" s="48">
        <f>SUM(B136:B150)</f>
        <v>48</v>
      </c>
      <c r="C151" s="89" t="s">
        <v>28</v>
      </c>
      <c r="D151" s="49"/>
    </row>
    <row r="152" spans="1:4" ht="15" thickBot="1" x14ac:dyDescent="0.35">
      <c r="A152" s="50"/>
      <c r="B152" s="50"/>
      <c r="C152" s="50"/>
      <c r="D152" s="50"/>
    </row>
    <row r="153" spans="1:4" ht="18.75" thickBot="1" x14ac:dyDescent="0.3">
      <c r="A153" s="43" t="s">
        <v>14</v>
      </c>
      <c r="B153" s="44">
        <v>9</v>
      </c>
      <c r="C153" s="45" t="s">
        <v>23</v>
      </c>
      <c r="D153" s="54">
        <f>$D$134+7</f>
        <v>43766</v>
      </c>
    </row>
    <row r="154" spans="1:4" ht="27.75" thickBot="1" x14ac:dyDescent="0.3">
      <c r="A154" s="46" t="s">
        <v>3</v>
      </c>
      <c r="B154" s="47" t="s">
        <v>15</v>
      </c>
      <c r="C154" s="46" t="s">
        <v>7</v>
      </c>
      <c r="D154" s="46" t="s">
        <v>13</v>
      </c>
    </row>
    <row r="155" spans="1:4" ht="17.25" thickTop="1" x14ac:dyDescent="0.3">
      <c r="A155" s="97" t="s">
        <v>31</v>
      </c>
      <c r="B155" s="98">
        <v>4</v>
      </c>
      <c r="C155" s="99" t="s">
        <v>63</v>
      </c>
      <c r="D155" s="135" t="s">
        <v>62</v>
      </c>
    </row>
    <row r="156" spans="1:4" ht="49.5" x14ac:dyDescent="0.25">
      <c r="A156" s="101" t="s">
        <v>34</v>
      </c>
      <c r="B156" s="102">
        <v>8</v>
      </c>
      <c r="C156" s="103" t="s">
        <v>70</v>
      </c>
      <c r="D156" s="104"/>
    </row>
    <row r="157" spans="1:4" ht="16.5" x14ac:dyDescent="0.25">
      <c r="A157" s="101"/>
      <c r="B157" s="102"/>
      <c r="C157" s="103"/>
      <c r="D157" s="104"/>
    </row>
    <row r="158" spans="1:4" ht="16.5" x14ac:dyDescent="0.25">
      <c r="A158" s="105"/>
      <c r="B158" s="106"/>
      <c r="C158" s="107"/>
      <c r="D158" s="108"/>
    </row>
    <row r="159" spans="1:4" ht="16.5" x14ac:dyDescent="0.25">
      <c r="A159" s="105"/>
      <c r="B159" s="106"/>
      <c r="C159" s="107"/>
      <c r="D159" s="108"/>
    </row>
    <row r="160" spans="1:4" ht="16.5" x14ac:dyDescent="0.25">
      <c r="A160" s="105"/>
      <c r="B160" s="106"/>
      <c r="C160" s="107"/>
      <c r="D160" s="108"/>
    </row>
    <row r="161" spans="1:4" ht="16.5" x14ac:dyDescent="0.25">
      <c r="A161" s="105"/>
      <c r="B161" s="106"/>
      <c r="C161" s="107"/>
      <c r="D161" s="108"/>
    </row>
    <row r="162" spans="1:4" ht="16.5" x14ac:dyDescent="0.25">
      <c r="A162" s="109" t="s">
        <v>30</v>
      </c>
      <c r="B162" s="110">
        <v>1</v>
      </c>
      <c r="C162" s="111" t="s">
        <v>69</v>
      </c>
      <c r="D162" s="112"/>
    </row>
    <row r="163" spans="1:4" ht="66" x14ac:dyDescent="0.25">
      <c r="A163" s="109" t="s">
        <v>34</v>
      </c>
      <c r="B163" s="110">
        <v>11</v>
      </c>
      <c r="C163" s="111" t="s">
        <v>71</v>
      </c>
      <c r="D163" s="112"/>
    </row>
    <row r="164" spans="1:4" ht="16.5" x14ac:dyDescent="0.25">
      <c r="A164" s="109"/>
      <c r="B164" s="110"/>
      <c r="C164" s="111"/>
      <c r="D164" s="112"/>
    </row>
    <row r="165" spans="1:4" ht="16.5" x14ac:dyDescent="0.25">
      <c r="A165" s="109"/>
      <c r="B165" s="110"/>
      <c r="C165" s="111"/>
      <c r="D165" s="112"/>
    </row>
    <row r="166" spans="1:4" ht="66" x14ac:dyDescent="0.25">
      <c r="A166" s="113" t="s">
        <v>38</v>
      </c>
      <c r="B166" s="114">
        <v>12</v>
      </c>
      <c r="C166" s="115" t="s">
        <v>72</v>
      </c>
      <c r="D166" s="116"/>
    </row>
    <row r="167" spans="1:4" ht="16.5" x14ac:dyDescent="0.25">
      <c r="A167" s="113" t="s">
        <v>6</v>
      </c>
      <c r="B167" s="114"/>
      <c r="C167" s="115"/>
      <c r="D167" s="116"/>
    </row>
    <row r="168" spans="1:4" ht="16.5" x14ac:dyDescent="0.25">
      <c r="A168" s="113"/>
      <c r="B168" s="114"/>
      <c r="C168" s="115"/>
      <c r="D168" s="116"/>
    </row>
    <row r="169" spans="1:4" ht="17.25" thickBot="1" x14ac:dyDescent="0.3">
      <c r="A169" s="117"/>
      <c r="B169" s="118"/>
      <c r="C169" s="119"/>
      <c r="D169" s="120"/>
    </row>
    <row r="170" spans="1:4" ht="15" thickTop="1" thickBot="1" x14ac:dyDescent="0.3">
      <c r="A170" s="48" t="s">
        <v>22</v>
      </c>
      <c r="B170" s="48">
        <f>SUM(B155:B169)</f>
        <v>36</v>
      </c>
      <c r="C170" s="89" t="s">
        <v>28</v>
      </c>
      <c r="D170" s="49"/>
    </row>
    <row r="171" spans="1:4" ht="15" thickBot="1" x14ac:dyDescent="0.35">
      <c r="A171" s="50"/>
      <c r="B171" s="50"/>
      <c r="C171" s="50"/>
      <c r="D171" s="50"/>
    </row>
    <row r="172" spans="1:4" ht="18.75" thickBot="1" x14ac:dyDescent="0.3">
      <c r="A172" s="43" t="s">
        <v>14</v>
      </c>
      <c r="B172" s="44">
        <v>10</v>
      </c>
      <c r="C172" s="45" t="s">
        <v>23</v>
      </c>
      <c r="D172" s="54">
        <f>$D$153+7</f>
        <v>43773</v>
      </c>
    </row>
    <row r="173" spans="1:4" ht="27.75" thickBot="1" x14ac:dyDescent="0.3">
      <c r="A173" s="46" t="s">
        <v>3</v>
      </c>
      <c r="B173" s="47" t="s">
        <v>15</v>
      </c>
      <c r="C173" s="46" t="s">
        <v>7</v>
      </c>
      <c r="D173" s="46" t="s">
        <v>13</v>
      </c>
    </row>
    <row r="174" spans="1:4" ht="17.25" thickTop="1" x14ac:dyDescent="0.3">
      <c r="A174" s="97" t="s">
        <v>31</v>
      </c>
      <c r="B174" s="98">
        <v>4</v>
      </c>
      <c r="C174" s="99" t="s">
        <v>74</v>
      </c>
      <c r="D174" s="135"/>
    </row>
    <row r="175" spans="1:4" ht="33" x14ac:dyDescent="0.25">
      <c r="A175" s="101" t="s">
        <v>34</v>
      </c>
      <c r="B175" s="102">
        <v>8</v>
      </c>
      <c r="C175" s="103" t="s">
        <v>73</v>
      </c>
      <c r="D175" s="104"/>
    </row>
    <row r="176" spans="1:4" ht="16.5" x14ac:dyDescent="0.25">
      <c r="A176" s="101"/>
      <c r="B176" s="102"/>
      <c r="C176" s="103"/>
      <c r="D176" s="104"/>
    </row>
    <row r="177" spans="1:4" ht="16.5" x14ac:dyDescent="0.25">
      <c r="A177" s="105"/>
      <c r="B177" s="106"/>
      <c r="C177" s="107"/>
      <c r="D177" s="108"/>
    </row>
    <row r="178" spans="1:4" ht="16.5" x14ac:dyDescent="0.25">
      <c r="A178" s="105"/>
      <c r="B178" s="106"/>
      <c r="C178" s="107"/>
      <c r="D178" s="108"/>
    </row>
    <row r="179" spans="1:4" ht="16.5" x14ac:dyDescent="0.25">
      <c r="A179" s="105"/>
      <c r="B179" s="106"/>
      <c r="C179" s="107"/>
      <c r="D179" s="108"/>
    </row>
    <row r="180" spans="1:4" ht="16.5" x14ac:dyDescent="0.25">
      <c r="A180" s="105"/>
      <c r="B180" s="106"/>
      <c r="C180" s="107"/>
      <c r="D180" s="108"/>
    </row>
    <row r="181" spans="1:4" ht="66" x14ac:dyDescent="0.25">
      <c r="A181" s="109" t="s">
        <v>34</v>
      </c>
      <c r="B181" s="110">
        <v>11</v>
      </c>
      <c r="C181" s="111" t="s">
        <v>75</v>
      </c>
      <c r="D181" s="112"/>
    </row>
    <row r="182" spans="1:4" ht="16.5" x14ac:dyDescent="0.25">
      <c r="A182" s="109" t="s">
        <v>30</v>
      </c>
      <c r="B182" s="110">
        <v>1</v>
      </c>
      <c r="C182" s="111" t="s">
        <v>69</v>
      </c>
      <c r="D182" s="112"/>
    </row>
    <row r="183" spans="1:4" ht="16.5" x14ac:dyDescent="0.25">
      <c r="A183" s="109"/>
      <c r="B183" s="110"/>
      <c r="C183" s="111"/>
      <c r="D183" s="112"/>
    </row>
    <row r="184" spans="1:4" ht="16.5" x14ac:dyDescent="0.25">
      <c r="A184" s="109"/>
      <c r="B184" s="110"/>
      <c r="C184" s="111"/>
      <c r="D184" s="112"/>
    </row>
    <row r="185" spans="1:4" ht="33" x14ac:dyDescent="0.25">
      <c r="A185" s="113" t="s">
        <v>34</v>
      </c>
      <c r="B185" s="114">
        <v>12</v>
      </c>
      <c r="C185" s="115" t="s">
        <v>106</v>
      </c>
      <c r="D185" s="116"/>
    </row>
    <row r="186" spans="1:4" ht="16.5" x14ac:dyDescent="0.25">
      <c r="A186" s="113" t="s">
        <v>6</v>
      </c>
      <c r="B186" s="114"/>
      <c r="C186" s="115"/>
      <c r="D186" s="116"/>
    </row>
    <row r="187" spans="1:4" ht="16.5" x14ac:dyDescent="0.25">
      <c r="A187" s="113"/>
      <c r="B187" s="114"/>
      <c r="C187" s="115"/>
      <c r="D187" s="116"/>
    </row>
    <row r="188" spans="1:4" ht="17.25" thickBot="1" x14ac:dyDescent="0.3">
      <c r="A188" s="117"/>
      <c r="B188" s="118"/>
      <c r="C188" s="119"/>
      <c r="D188" s="120"/>
    </row>
    <row r="189" spans="1:4" ht="15" thickTop="1" thickBot="1" x14ac:dyDescent="0.3">
      <c r="A189" s="48" t="s">
        <v>22</v>
      </c>
      <c r="B189" s="48">
        <f>SUM(B174:B188)</f>
        <v>36</v>
      </c>
      <c r="C189" s="89" t="s">
        <v>28</v>
      </c>
      <c r="D189" s="49"/>
    </row>
    <row r="190" spans="1:4" ht="15" thickBot="1" x14ac:dyDescent="0.35">
      <c r="A190" s="50"/>
      <c r="B190" s="50"/>
      <c r="C190" s="50"/>
      <c r="D190" s="50"/>
    </row>
    <row r="191" spans="1:4" ht="18.75" thickBot="1" x14ac:dyDescent="0.3">
      <c r="A191" s="43" t="s">
        <v>14</v>
      </c>
      <c r="B191" s="44">
        <v>11</v>
      </c>
      <c r="C191" s="45" t="s">
        <v>23</v>
      </c>
      <c r="D191" s="54">
        <f>$D$172+7</f>
        <v>43780</v>
      </c>
    </row>
    <row r="192" spans="1:4" ht="27.75" thickBot="1" x14ac:dyDescent="0.3">
      <c r="A192" s="46" t="s">
        <v>3</v>
      </c>
      <c r="B192" s="47" t="s">
        <v>15</v>
      </c>
      <c r="C192" s="46" t="s">
        <v>7</v>
      </c>
      <c r="D192" s="46" t="s">
        <v>13</v>
      </c>
    </row>
    <row r="193" spans="1:4" ht="50.25" thickTop="1" x14ac:dyDescent="0.25">
      <c r="A193" s="97" t="s">
        <v>36</v>
      </c>
      <c r="B193" s="98">
        <v>6</v>
      </c>
      <c r="C193" s="99" t="s">
        <v>79</v>
      </c>
      <c r="D193" s="100"/>
    </row>
    <row r="194" spans="1:4" ht="49.5" x14ac:dyDescent="0.25">
      <c r="A194" s="101" t="s">
        <v>32</v>
      </c>
      <c r="B194" s="102">
        <v>5</v>
      </c>
      <c r="C194" s="103" t="s">
        <v>80</v>
      </c>
      <c r="D194" s="104"/>
    </row>
    <row r="195" spans="1:4" ht="16.5" x14ac:dyDescent="0.25">
      <c r="A195" s="101" t="s">
        <v>30</v>
      </c>
      <c r="B195" s="102">
        <v>1</v>
      </c>
      <c r="C195" s="103" t="s">
        <v>78</v>
      </c>
      <c r="D195" s="104"/>
    </row>
    <row r="196" spans="1:4" ht="16.5" x14ac:dyDescent="0.25">
      <c r="A196" s="105"/>
      <c r="B196" s="106"/>
      <c r="C196" s="107"/>
      <c r="D196" s="108"/>
    </row>
    <row r="197" spans="1:4" ht="16.5" x14ac:dyDescent="0.25">
      <c r="A197" s="105"/>
      <c r="B197" s="106"/>
      <c r="C197" s="107"/>
      <c r="D197" s="108"/>
    </row>
    <row r="198" spans="1:4" ht="16.5" x14ac:dyDescent="0.25">
      <c r="A198" s="105"/>
      <c r="B198" s="106"/>
      <c r="C198" s="107"/>
      <c r="D198" s="108"/>
    </row>
    <row r="199" spans="1:4" ht="16.5" x14ac:dyDescent="0.25">
      <c r="A199" s="105"/>
      <c r="B199" s="106"/>
      <c r="C199" s="107"/>
      <c r="D199" s="108"/>
    </row>
    <row r="200" spans="1:4" ht="49.5" x14ac:dyDescent="0.25">
      <c r="A200" s="109" t="s">
        <v>36</v>
      </c>
      <c r="B200" s="110">
        <v>10</v>
      </c>
      <c r="C200" s="111" t="s">
        <v>76</v>
      </c>
      <c r="D200" s="112"/>
    </row>
    <row r="201" spans="1:4" ht="16.5" x14ac:dyDescent="0.25">
      <c r="A201" s="109" t="s">
        <v>40</v>
      </c>
      <c r="B201" s="110">
        <v>1</v>
      </c>
      <c r="C201" s="111" t="s">
        <v>77</v>
      </c>
      <c r="D201" s="112"/>
    </row>
    <row r="202" spans="1:4" ht="16.5" x14ac:dyDescent="0.25">
      <c r="A202" s="109" t="s">
        <v>30</v>
      </c>
      <c r="B202" s="110">
        <v>1</v>
      </c>
      <c r="C202" s="111" t="s">
        <v>50</v>
      </c>
      <c r="D202" s="112"/>
    </row>
    <row r="203" spans="1:4" ht="16.5" x14ac:dyDescent="0.25">
      <c r="A203" s="109"/>
      <c r="B203" s="110"/>
      <c r="C203" s="111"/>
      <c r="D203" s="112"/>
    </row>
    <row r="204" spans="1:4" ht="33" x14ac:dyDescent="0.25">
      <c r="A204" s="113" t="s">
        <v>36</v>
      </c>
      <c r="B204" s="114">
        <v>11</v>
      </c>
      <c r="C204" s="115" t="s">
        <v>91</v>
      </c>
      <c r="D204" s="116"/>
    </row>
    <row r="205" spans="1:4" ht="16.5" x14ac:dyDescent="0.25">
      <c r="A205" s="113" t="s">
        <v>30</v>
      </c>
      <c r="B205" s="114">
        <v>1</v>
      </c>
      <c r="C205" s="115"/>
      <c r="D205" s="116"/>
    </row>
    <row r="206" spans="1:4" ht="16.5" x14ac:dyDescent="0.25">
      <c r="A206" s="113"/>
      <c r="B206" s="114"/>
      <c r="C206" s="115"/>
      <c r="D206" s="116"/>
    </row>
    <row r="207" spans="1:4" ht="17.25" thickBot="1" x14ac:dyDescent="0.3">
      <c r="A207" s="117"/>
      <c r="B207" s="118"/>
      <c r="C207" s="119"/>
      <c r="D207" s="120"/>
    </row>
    <row r="208" spans="1:4" ht="15" thickTop="1" thickBot="1" x14ac:dyDescent="0.3">
      <c r="A208" s="48" t="s">
        <v>22</v>
      </c>
      <c r="B208" s="48">
        <f>SUM(B193:B207)</f>
        <v>36</v>
      </c>
      <c r="C208" s="89" t="s">
        <v>28</v>
      </c>
      <c r="D208" s="49"/>
    </row>
    <row r="209" spans="1:4" ht="15" thickBot="1" x14ac:dyDescent="0.35">
      <c r="A209" s="50"/>
      <c r="B209" s="50"/>
      <c r="C209" s="50"/>
      <c r="D209" s="50"/>
    </row>
    <row r="210" spans="1:4" ht="18.75" thickBot="1" x14ac:dyDescent="0.3">
      <c r="A210" s="43" t="s">
        <v>14</v>
      </c>
      <c r="B210" s="44">
        <v>12</v>
      </c>
      <c r="C210" s="45" t="s">
        <v>23</v>
      </c>
      <c r="D210" s="54">
        <f>$D$191+7</f>
        <v>43787</v>
      </c>
    </row>
    <row r="211" spans="1:4" ht="27.75" thickBot="1" x14ac:dyDescent="0.3">
      <c r="A211" s="46" t="s">
        <v>3</v>
      </c>
      <c r="B211" s="47" t="s">
        <v>15</v>
      </c>
      <c r="C211" s="46" t="s">
        <v>7</v>
      </c>
      <c r="D211" s="46" t="s">
        <v>13</v>
      </c>
    </row>
    <row r="212" spans="1:4" ht="33.75" thickTop="1" x14ac:dyDescent="0.25">
      <c r="A212" s="139" t="s">
        <v>37</v>
      </c>
      <c r="B212" s="139">
        <v>8</v>
      </c>
      <c r="C212" s="140" t="s">
        <v>88</v>
      </c>
      <c r="D212" s="138" t="s">
        <v>83</v>
      </c>
    </row>
    <row r="213" spans="1:4" ht="16.5" x14ac:dyDescent="0.25">
      <c r="A213" s="101" t="s">
        <v>30</v>
      </c>
      <c r="B213" s="102">
        <v>1</v>
      </c>
      <c r="C213" s="103" t="s">
        <v>78</v>
      </c>
      <c r="D213" s="104"/>
    </row>
    <row r="214" spans="1:4" ht="16.5" x14ac:dyDescent="0.25">
      <c r="A214" s="101" t="s">
        <v>32</v>
      </c>
      <c r="B214" s="102">
        <v>3</v>
      </c>
      <c r="C214" s="103" t="s">
        <v>84</v>
      </c>
      <c r="D214" s="104"/>
    </row>
    <row r="215" spans="1:4" ht="33" x14ac:dyDescent="0.25">
      <c r="A215" s="105" t="s">
        <v>36</v>
      </c>
      <c r="B215" s="106">
        <v>6</v>
      </c>
      <c r="C215" s="107" t="s">
        <v>127</v>
      </c>
      <c r="D215" s="108"/>
    </row>
    <row r="216" spans="1:4" ht="16.5" x14ac:dyDescent="0.25">
      <c r="A216" s="105" t="s">
        <v>37</v>
      </c>
      <c r="B216" s="106">
        <v>6</v>
      </c>
      <c r="C216" s="107" t="s">
        <v>128</v>
      </c>
      <c r="D216" s="108"/>
    </row>
    <row r="217" spans="1:4" ht="16.5" x14ac:dyDescent="0.25">
      <c r="A217" s="105"/>
      <c r="B217" s="106"/>
      <c r="C217" s="107"/>
      <c r="D217" s="108"/>
    </row>
    <row r="218" spans="1:4" ht="16.5" x14ac:dyDescent="0.25">
      <c r="A218" s="105"/>
      <c r="B218" s="106"/>
      <c r="C218" s="107"/>
      <c r="D218" s="108"/>
    </row>
    <row r="219" spans="1:4" ht="33" x14ac:dyDescent="0.25">
      <c r="A219" s="109" t="s">
        <v>37</v>
      </c>
      <c r="B219" s="110">
        <v>8</v>
      </c>
      <c r="C219" s="111" t="s">
        <v>82</v>
      </c>
      <c r="D219" s="112"/>
    </row>
    <row r="220" spans="1:4" ht="33" x14ac:dyDescent="0.25">
      <c r="A220" s="109" t="s">
        <v>32</v>
      </c>
      <c r="B220" s="110">
        <v>1</v>
      </c>
      <c r="C220" s="111" t="s">
        <v>81</v>
      </c>
      <c r="D220" s="112"/>
    </row>
    <row r="221" spans="1:4" ht="33" x14ac:dyDescent="0.25">
      <c r="A221" s="109" t="s">
        <v>34</v>
      </c>
      <c r="B221" s="110">
        <v>2</v>
      </c>
      <c r="C221" s="111" t="s">
        <v>85</v>
      </c>
      <c r="D221" s="112"/>
    </row>
    <row r="222" spans="1:4" ht="16.5" x14ac:dyDescent="0.25">
      <c r="A222" s="109" t="s">
        <v>30</v>
      </c>
      <c r="B222" s="110">
        <v>1</v>
      </c>
      <c r="C222" s="111" t="s">
        <v>50</v>
      </c>
      <c r="D222" s="112"/>
    </row>
    <row r="223" spans="1:4" ht="16.5" x14ac:dyDescent="0.25">
      <c r="A223" s="113" t="s">
        <v>37</v>
      </c>
      <c r="B223" s="114">
        <v>8</v>
      </c>
      <c r="C223" s="115" t="s">
        <v>92</v>
      </c>
      <c r="D223" s="116"/>
    </row>
    <row r="224" spans="1:4" ht="33" x14ac:dyDescent="0.25">
      <c r="A224" s="113" t="s">
        <v>34</v>
      </c>
      <c r="B224" s="114">
        <v>4</v>
      </c>
      <c r="C224" s="115" t="s">
        <v>93</v>
      </c>
      <c r="D224" s="116"/>
    </row>
    <row r="225" spans="1:4" ht="16.5" x14ac:dyDescent="0.25">
      <c r="A225" s="113" t="s">
        <v>30</v>
      </c>
      <c r="B225" s="114">
        <v>1</v>
      </c>
      <c r="C225" s="115"/>
      <c r="D225" s="116"/>
    </row>
    <row r="226" spans="1:4" ht="17.25" thickBot="1" x14ac:dyDescent="0.3">
      <c r="A226" s="117"/>
      <c r="B226" s="118"/>
      <c r="C226" s="119"/>
      <c r="D226" s="120"/>
    </row>
    <row r="227" spans="1:4" ht="15" thickTop="1" thickBot="1" x14ac:dyDescent="0.3">
      <c r="A227" s="48" t="s">
        <v>22</v>
      </c>
      <c r="B227" s="48">
        <f>SUM(B212:B226)</f>
        <v>49</v>
      </c>
      <c r="C227" s="89" t="s">
        <v>28</v>
      </c>
      <c r="D227" s="49"/>
    </row>
    <row r="228" spans="1:4" ht="15" thickBot="1" x14ac:dyDescent="0.35">
      <c r="A228" s="50"/>
      <c r="B228" s="50"/>
      <c r="C228" s="50"/>
      <c r="D228" s="50"/>
    </row>
    <row r="229" spans="1:4" ht="18.75" thickBot="1" x14ac:dyDescent="0.3">
      <c r="A229" s="43" t="s">
        <v>14</v>
      </c>
      <c r="B229" s="44">
        <v>13</v>
      </c>
      <c r="C229" s="45" t="s">
        <v>23</v>
      </c>
      <c r="D229" s="54">
        <f>$D$210+7</f>
        <v>43794</v>
      </c>
    </row>
    <row r="230" spans="1:4" ht="27.75" thickBot="1" x14ac:dyDescent="0.3">
      <c r="A230" s="46" t="s">
        <v>3</v>
      </c>
      <c r="B230" s="47" t="s">
        <v>15</v>
      </c>
      <c r="C230" s="46" t="s">
        <v>7</v>
      </c>
      <c r="D230" s="46" t="s">
        <v>13</v>
      </c>
    </row>
    <row r="231" spans="1:4" ht="50.25" thickTop="1" x14ac:dyDescent="0.25">
      <c r="A231" s="97" t="s">
        <v>32</v>
      </c>
      <c r="B231" s="98">
        <v>11</v>
      </c>
      <c r="C231" s="99" t="s">
        <v>89</v>
      </c>
      <c r="D231" s="138" t="s">
        <v>83</v>
      </c>
    </row>
    <row r="232" spans="1:4" ht="16.5" x14ac:dyDescent="0.25">
      <c r="A232" s="101" t="s">
        <v>30</v>
      </c>
      <c r="B232" s="102">
        <v>1</v>
      </c>
      <c r="C232" s="103" t="s">
        <v>78</v>
      </c>
      <c r="D232" s="104"/>
    </row>
    <row r="233" spans="1:4" ht="16.5" x14ac:dyDescent="0.25">
      <c r="A233" s="101"/>
      <c r="B233" s="102"/>
      <c r="C233" s="103"/>
      <c r="D233" s="104"/>
    </row>
    <row r="234" spans="1:4" ht="16.5" x14ac:dyDescent="0.25">
      <c r="A234" s="105" t="s">
        <v>29</v>
      </c>
      <c r="B234" s="106">
        <v>6</v>
      </c>
      <c r="C234" s="107" t="s">
        <v>129</v>
      </c>
      <c r="D234" s="108"/>
    </row>
    <row r="235" spans="1:4" ht="33" x14ac:dyDescent="0.25">
      <c r="A235" s="105" t="s">
        <v>35</v>
      </c>
      <c r="B235" s="106">
        <v>6</v>
      </c>
      <c r="C235" s="107" t="s">
        <v>130</v>
      </c>
      <c r="D235" s="108"/>
    </row>
    <row r="236" spans="1:4" ht="16.5" x14ac:dyDescent="0.25">
      <c r="A236" s="105"/>
      <c r="B236" s="106"/>
      <c r="C236" s="107"/>
      <c r="D236" s="108"/>
    </row>
    <row r="237" spans="1:4" ht="16.5" x14ac:dyDescent="0.25">
      <c r="A237" s="105"/>
      <c r="B237" s="106"/>
      <c r="C237" s="107"/>
      <c r="D237" s="108"/>
    </row>
    <row r="238" spans="1:4" ht="49.5" x14ac:dyDescent="0.25">
      <c r="A238" s="109" t="s">
        <v>34</v>
      </c>
      <c r="B238" s="110">
        <v>6</v>
      </c>
      <c r="C238" s="111" t="s">
        <v>87</v>
      </c>
      <c r="D238" s="112"/>
    </row>
    <row r="239" spans="1:4" ht="33" x14ac:dyDescent="0.25">
      <c r="A239" s="109" t="s">
        <v>34</v>
      </c>
      <c r="B239" s="110">
        <v>5</v>
      </c>
      <c r="C239" s="111" t="s">
        <v>90</v>
      </c>
      <c r="D239" s="112"/>
    </row>
    <row r="240" spans="1:4" ht="16.5" x14ac:dyDescent="0.25">
      <c r="A240" s="109" t="s">
        <v>30</v>
      </c>
      <c r="B240" s="110">
        <v>1</v>
      </c>
      <c r="C240" s="111" t="s">
        <v>50</v>
      </c>
      <c r="D240" s="112"/>
    </row>
    <row r="241" spans="1:4" ht="16.5" x14ac:dyDescent="0.25">
      <c r="A241" s="109"/>
      <c r="B241" s="110"/>
      <c r="C241" s="111"/>
      <c r="D241" s="112"/>
    </row>
    <row r="242" spans="1:4" ht="66" x14ac:dyDescent="0.25">
      <c r="A242" s="113" t="s">
        <v>34</v>
      </c>
      <c r="B242" s="114">
        <v>11</v>
      </c>
      <c r="C242" s="115" t="s">
        <v>94</v>
      </c>
      <c r="D242" s="116"/>
    </row>
    <row r="243" spans="1:4" ht="16.5" x14ac:dyDescent="0.25">
      <c r="A243" s="113" t="s">
        <v>30</v>
      </c>
      <c r="B243" s="114">
        <v>1</v>
      </c>
      <c r="C243" s="115"/>
      <c r="D243" s="116"/>
    </row>
    <row r="244" spans="1:4" ht="16.5" x14ac:dyDescent="0.25">
      <c r="A244" s="113"/>
      <c r="B244" s="114"/>
      <c r="C244" s="115"/>
      <c r="D244" s="116"/>
    </row>
    <row r="245" spans="1:4" ht="17.25" thickBot="1" x14ac:dyDescent="0.3">
      <c r="A245" s="117"/>
      <c r="B245" s="118"/>
      <c r="C245" s="119"/>
      <c r="D245" s="120"/>
    </row>
    <row r="246" spans="1:4" ht="15" thickTop="1" thickBot="1" x14ac:dyDescent="0.3">
      <c r="A246" s="48" t="s">
        <v>22</v>
      </c>
      <c r="B246" s="48">
        <f>SUM(B231:B245)</f>
        <v>48</v>
      </c>
      <c r="C246" s="89" t="s">
        <v>28</v>
      </c>
      <c r="D246" s="49"/>
    </row>
    <row r="247" spans="1:4" ht="15" thickBot="1" x14ac:dyDescent="0.35">
      <c r="A247" s="50"/>
      <c r="B247" s="50"/>
      <c r="C247" s="50"/>
      <c r="D247" s="50"/>
    </row>
    <row r="248" spans="1:4" ht="18.75" thickBot="1" x14ac:dyDescent="0.3">
      <c r="A248" s="43" t="s">
        <v>14</v>
      </c>
      <c r="B248" s="44">
        <v>14</v>
      </c>
      <c r="C248" s="45" t="s">
        <v>23</v>
      </c>
      <c r="D248" s="54">
        <f>$D$229+7</f>
        <v>43801</v>
      </c>
    </row>
    <row r="249" spans="1:4" ht="27.75" thickBot="1" x14ac:dyDescent="0.3">
      <c r="A249" s="46" t="s">
        <v>3</v>
      </c>
      <c r="B249" s="47" t="s">
        <v>15</v>
      </c>
      <c r="C249" s="46" t="s">
        <v>7</v>
      </c>
      <c r="D249" s="46" t="s">
        <v>13</v>
      </c>
    </row>
    <row r="250" spans="1:4" ht="33.75" thickTop="1" x14ac:dyDescent="0.25">
      <c r="A250" s="139" t="s">
        <v>34</v>
      </c>
      <c r="B250" s="139">
        <v>6</v>
      </c>
      <c r="C250" s="140" t="s">
        <v>97</v>
      </c>
      <c r="D250" s="100"/>
    </row>
    <row r="251" spans="1:4" ht="16.5" x14ac:dyDescent="0.25">
      <c r="A251" s="139" t="s">
        <v>32</v>
      </c>
      <c r="B251" s="139">
        <v>5</v>
      </c>
      <c r="C251" s="140" t="s">
        <v>105</v>
      </c>
      <c r="D251" s="104"/>
    </row>
    <row r="252" spans="1:4" ht="16.5" x14ac:dyDescent="0.25">
      <c r="A252" s="139" t="s">
        <v>30</v>
      </c>
      <c r="B252" s="139">
        <v>1</v>
      </c>
      <c r="C252" s="140" t="s">
        <v>50</v>
      </c>
      <c r="D252" s="104"/>
    </row>
    <row r="253" spans="1:4" ht="33" x14ac:dyDescent="0.25">
      <c r="A253" s="105" t="s">
        <v>21</v>
      </c>
      <c r="B253" s="106">
        <v>12</v>
      </c>
      <c r="C253" s="107" t="s">
        <v>51</v>
      </c>
      <c r="D253" s="108"/>
    </row>
    <row r="254" spans="1:4" ht="16.5" x14ac:dyDescent="0.25">
      <c r="A254" s="105"/>
      <c r="B254" s="106"/>
      <c r="C254" s="107"/>
      <c r="D254" s="108"/>
    </row>
    <row r="255" spans="1:4" ht="16.5" x14ac:dyDescent="0.25">
      <c r="A255" s="105"/>
      <c r="B255" s="106"/>
      <c r="C255" s="107"/>
      <c r="D255" s="108"/>
    </row>
    <row r="256" spans="1:4" ht="16.5" x14ac:dyDescent="0.25">
      <c r="A256" s="105"/>
      <c r="B256" s="106"/>
      <c r="C256" s="107"/>
      <c r="D256" s="108"/>
    </row>
    <row r="257" spans="1:4" ht="33" x14ac:dyDescent="0.25">
      <c r="A257" s="109" t="s">
        <v>34</v>
      </c>
      <c r="B257" s="110">
        <v>6</v>
      </c>
      <c r="C257" s="111" t="s">
        <v>96</v>
      </c>
      <c r="D257" s="112"/>
    </row>
    <row r="258" spans="1:4" ht="33" x14ac:dyDescent="0.25">
      <c r="A258" s="109" t="s">
        <v>32</v>
      </c>
      <c r="B258" s="110">
        <v>5</v>
      </c>
      <c r="C258" s="111" t="s">
        <v>95</v>
      </c>
      <c r="D258" s="112"/>
    </row>
    <row r="259" spans="1:4" ht="16.5" x14ac:dyDescent="0.25">
      <c r="A259" s="109" t="s">
        <v>30</v>
      </c>
      <c r="B259" s="110">
        <v>1</v>
      </c>
      <c r="C259" s="111" t="s">
        <v>50</v>
      </c>
      <c r="D259" s="112"/>
    </row>
    <row r="260" spans="1:4" ht="16.5" x14ac:dyDescent="0.25">
      <c r="A260" s="109"/>
      <c r="B260" s="110"/>
      <c r="C260" s="111"/>
      <c r="D260" s="112"/>
    </row>
    <row r="261" spans="1:4" ht="49.5" x14ac:dyDescent="0.25">
      <c r="A261" s="113" t="s">
        <v>34</v>
      </c>
      <c r="B261" s="114">
        <v>6</v>
      </c>
      <c r="C261" s="115" t="s">
        <v>98</v>
      </c>
      <c r="D261" s="116"/>
    </row>
    <row r="262" spans="1:4" ht="33" x14ac:dyDescent="0.25">
      <c r="A262" s="113" t="s">
        <v>32</v>
      </c>
      <c r="B262" s="114">
        <v>6</v>
      </c>
      <c r="C262" s="115" t="s">
        <v>99</v>
      </c>
      <c r="D262" s="116"/>
    </row>
    <row r="263" spans="1:4" ht="16.5" x14ac:dyDescent="0.25">
      <c r="A263" s="113"/>
      <c r="B263" s="114"/>
      <c r="C263" s="115"/>
      <c r="D263" s="116"/>
    </row>
    <row r="264" spans="1:4" ht="17.25" thickBot="1" x14ac:dyDescent="0.3">
      <c r="A264" s="117"/>
      <c r="B264" s="118"/>
      <c r="C264" s="119"/>
      <c r="D264" s="120"/>
    </row>
    <row r="265" spans="1:4" ht="15" thickTop="1" thickBot="1" x14ac:dyDescent="0.3">
      <c r="A265" s="48" t="s">
        <v>22</v>
      </c>
      <c r="B265" s="48">
        <f>SUM(B250:B264)</f>
        <v>48</v>
      </c>
      <c r="C265" s="89" t="s">
        <v>28</v>
      </c>
      <c r="D265" s="49"/>
    </row>
    <row r="266" spans="1:4" ht="15" thickBot="1" x14ac:dyDescent="0.35">
      <c r="A266" s="50"/>
      <c r="B266" s="50"/>
      <c r="C266" s="50"/>
      <c r="D266" s="50"/>
    </row>
    <row r="267" spans="1:4" ht="18.75" thickBot="1" x14ac:dyDescent="0.3">
      <c r="A267" s="43" t="s">
        <v>14</v>
      </c>
      <c r="B267" s="44">
        <v>15</v>
      </c>
      <c r="C267" s="45" t="s">
        <v>23</v>
      </c>
      <c r="D267" s="54">
        <f>$D$248+7</f>
        <v>43808</v>
      </c>
    </row>
    <row r="268" spans="1:4" ht="27.75" thickBot="1" x14ac:dyDescent="0.3">
      <c r="A268" s="46" t="s">
        <v>3</v>
      </c>
      <c r="B268" s="47" t="s">
        <v>15</v>
      </c>
      <c r="C268" s="46" t="s">
        <v>7</v>
      </c>
      <c r="D268" s="46" t="s">
        <v>13</v>
      </c>
    </row>
    <row r="269" spans="1:4" ht="33.75" thickTop="1" x14ac:dyDescent="0.25">
      <c r="A269" s="97" t="s">
        <v>32</v>
      </c>
      <c r="B269" s="98">
        <v>3</v>
      </c>
      <c r="C269" s="99" t="s">
        <v>103</v>
      </c>
      <c r="D269" s="100"/>
    </row>
    <row r="270" spans="1:4" ht="66" x14ac:dyDescent="0.25">
      <c r="A270" s="101" t="s">
        <v>34</v>
      </c>
      <c r="B270" s="102">
        <v>8</v>
      </c>
      <c r="C270" s="103" t="s">
        <v>102</v>
      </c>
      <c r="D270" s="104"/>
    </row>
    <row r="271" spans="1:4" ht="16.5" x14ac:dyDescent="0.25">
      <c r="A271" s="139" t="s">
        <v>30</v>
      </c>
      <c r="B271" s="139">
        <v>1</v>
      </c>
      <c r="C271" s="140" t="s">
        <v>50</v>
      </c>
      <c r="D271" s="104"/>
    </row>
    <row r="272" spans="1:4" ht="33" x14ac:dyDescent="0.25">
      <c r="A272" s="139" t="s">
        <v>40</v>
      </c>
      <c r="B272" s="139">
        <v>2</v>
      </c>
      <c r="C272" s="140" t="s">
        <v>104</v>
      </c>
      <c r="D272" s="104"/>
    </row>
    <row r="273" spans="1:4" ht="16.5" x14ac:dyDescent="0.25">
      <c r="A273" s="105" t="s">
        <v>29</v>
      </c>
      <c r="B273" s="106">
        <v>12</v>
      </c>
      <c r="C273" s="107" t="s">
        <v>131</v>
      </c>
      <c r="D273" s="108"/>
    </row>
    <row r="274" spans="1:4" ht="16.5" x14ac:dyDescent="0.25">
      <c r="A274" s="105"/>
      <c r="B274" s="106"/>
      <c r="C274" s="107"/>
      <c r="D274" s="108"/>
    </row>
    <row r="275" spans="1:4" ht="16.5" x14ac:dyDescent="0.25">
      <c r="A275" s="105"/>
      <c r="B275" s="106"/>
      <c r="C275" s="107"/>
      <c r="D275" s="108"/>
    </row>
    <row r="276" spans="1:4" ht="16.5" x14ac:dyDescent="0.25">
      <c r="A276" s="105"/>
      <c r="B276" s="106"/>
      <c r="C276" s="107"/>
      <c r="D276" s="108"/>
    </row>
    <row r="277" spans="1:4" ht="33" x14ac:dyDescent="0.25">
      <c r="A277" s="109" t="s">
        <v>35</v>
      </c>
      <c r="B277" s="110">
        <v>5</v>
      </c>
      <c r="C277" s="111" t="s">
        <v>100</v>
      </c>
      <c r="D277" s="112"/>
    </row>
    <row r="278" spans="1:4" ht="16.5" x14ac:dyDescent="0.25">
      <c r="A278" s="109" t="s">
        <v>32</v>
      </c>
      <c r="B278" s="110">
        <v>8</v>
      </c>
      <c r="C278" s="111" t="s">
        <v>101</v>
      </c>
      <c r="D278" s="112"/>
    </row>
    <row r="279" spans="1:4" ht="16.5" x14ac:dyDescent="0.25">
      <c r="A279" s="109" t="s">
        <v>30</v>
      </c>
      <c r="B279" s="110">
        <v>1</v>
      </c>
      <c r="C279" s="111" t="s">
        <v>50</v>
      </c>
      <c r="D279" s="112"/>
    </row>
    <row r="280" spans="1:4" ht="16.5" x14ac:dyDescent="0.25">
      <c r="A280" s="109"/>
      <c r="B280" s="110"/>
      <c r="C280" s="111"/>
      <c r="D280" s="112"/>
    </row>
    <row r="281" spans="1:4" ht="16.5" x14ac:dyDescent="0.25">
      <c r="A281" s="113" t="s">
        <v>35</v>
      </c>
      <c r="B281" s="114">
        <v>5</v>
      </c>
      <c r="C281" s="115" t="s">
        <v>114</v>
      </c>
      <c r="D281" s="116"/>
    </row>
    <row r="282" spans="1:4" ht="16.5" x14ac:dyDescent="0.25">
      <c r="A282" s="113" t="s">
        <v>34</v>
      </c>
      <c r="B282" s="114">
        <v>8</v>
      </c>
      <c r="C282" s="115" t="s">
        <v>115</v>
      </c>
      <c r="D282" s="116"/>
    </row>
    <row r="283" spans="1:4" ht="16.5" x14ac:dyDescent="0.25">
      <c r="A283" s="113" t="s">
        <v>30</v>
      </c>
      <c r="B283" s="114">
        <v>1</v>
      </c>
      <c r="C283" s="115"/>
      <c r="D283" s="116"/>
    </row>
    <row r="284" spans="1:4" ht="17.25" thickBot="1" x14ac:dyDescent="0.3">
      <c r="A284" s="117" t="s">
        <v>40</v>
      </c>
      <c r="B284" s="118"/>
      <c r="C284" s="119" t="s">
        <v>116</v>
      </c>
      <c r="D284" s="120"/>
    </row>
    <row r="285" spans="1:4" ht="15" thickTop="1" thickBot="1" x14ac:dyDescent="0.3">
      <c r="A285" s="48" t="s">
        <v>22</v>
      </c>
      <c r="B285" s="48">
        <f>SUM(B269:B284)</f>
        <v>54</v>
      </c>
      <c r="C285" s="89" t="s">
        <v>28</v>
      </c>
      <c r="D285" s="49"/>
    </row>
    <row r="286" spans="1:4" ht="15" thickBot="1" x14ac:dyDescent="0.35">
      <c r="A286" s="50"/>
      <c r="B286" s="50"/>
      <c r="C286" s="50"/>
      <c r="D286" s="50"/>
    </row>
    <row r="287" spans="1:4" ht="18.75" thickBot="1" x14ac:dyDescent="0.3">
      <c r="A287" s="43" t="s">
        <v>14</v>
      </c>
      <c r="B287" s="44">
        <v>16</v>
      </c>
      <c r="C287" s="45" t="s">
        <v>23</v>
      </c>
      <c r="D287" s="54">
        <f>$D$267+7</f>
        <v>43815</v>
      </c>
    </row>
    <row r="288" spans="1:4" ht="27.75" thickBot="1" x14ac:dyDescent="0.3">
      <c r="A288" s="46" t="s">
        <v>3</v>
      </c>
      <c r="B288" s="47" t="s">
        <v>15</v>
      </c>
      <c r="C288" s="46" t="s">
        <v>7</v>
      </c>
      <c r="D288" s="46" t="s">
        <v>13</v>
      </c>
    </row>
    <row r="289" spans="1:4" ht="17.25" thickTop="1" x14ac:dyDescent="0.25">
      <c r="A289" s="97" t="s">
        <v>31</v>
      </c>
      <c r="B289" s="98">
        <v>3</v>
      </c>
      <c r="C289" s="99" t="s">
        <v>107</v>
      </c>
      <c r="D289" s="100"/>
    </row>
    <row r="290" spans="1:4" ht="16.5" x14ac:dyDescent="0.25">
      <c r="A290" s="141" t="s">
        <v>29</v>
      </c>
      <c r="B290" s="142">
        <v>3</v>
      </c>
      <c r="C290" s="143" t="s">
        <v>109</v>
      </c>
      <c r="D290" s="144"/>
    </row>
    <row r="291" spans="1:4" ht="49.5" x14ac:dyDescent="0.25">
      <c r="A291" s="141" t="s">
        <v>40</v>
      </c>
      <c r="B291" s="142">
        <v>2</v>
      </c>
      <c r="C291" s="143" t="s">
        <v>110</v>
      </c>
      <c r="D291" s="144"/>
    </row>
    <row r="292" spans="1:4" ht="16.5" x14ac:dyDescent="0.25">
      <c r="A292" s="101" t="s">
        <v>40</v>
      </c>
      <c r="B292" s="102">
        <v>3</v>
      </c>
      <c r="C292" s="103" t="s">
        <v>108</v>
      </c>
      <c r="D292" s="104"/>
    </row>
    <row r="293" spans="1:4" ht="16.5" x14ac:dyDescent="0.25">
      <c r="A293" s="139" t="s">
        <v>30</v>
      </c>
      <c r="B293" s="139">
        <v>1</v>
      </c>
      <c r="C293" s="140" t="s">
        <v>50</v>
      </c>
      <c r="D293" s="104"/>
    </row>
    <row r="294" spans="1:4" ht="16.5" x14ac:dyDescent="0.25">
      <c r="A294" s="105" t="s">
        <v>35</v>
      </c>
      <c r="B294" s="106">
        <v>12</v>
      </c>
      <c r="C294" s="107" t="s">
        <v>132</v>
      </c>
      <c r="D294" s="108"/>
    </row>
    <row r="295" spans="1:4" ht="16.5" x14ac:dyDescent="0.25">
      <c r="A295" s="105"/>
      <c r="B295" s="106"/>
      <c r="C295" s="107"/>
      <c r="D295" s="108"/>
    </row>
    <row r="296" spans="1:4" ht="16.5" x14ac:dyDescent="0.25">
      <c r="A296" s="105"/>
      <c r="B296" s="106"/>
      <c r="C296" s="107"/>
      <c r="D296" s="108"/>
    </row>
    <row r="297" spans="1:4" ht="16.5" x14ac:dyDescent="0.25">
      <c r="A297" s="105"/>
      <c r="B297" s="106"/>
      <c r="C297" s="107"/>
      <c r="D297" s="108"/>
    </row>
    <row r="298" spans="1:4" ht="33" x14ac:dyDescent="0.25">
      <c r="A298" s="109" t="s">
        <v>33</v>
      </c>
      <c r="B298" s="110">
        <v>6</v>
      </c>
      <c r="C298" s="111" t="s">
        <v>112</v>
      </c>
      <c r="D298" s="112"/>
    </row>
    <row r="299" spans="1:4" ht="16.5" x14ac:dyDescent="0.25">
      <c r="A299" s="109" t="s">
        <v>29</v>
      </c>
      <c r="B299" s="110">
        <v>4</v>
      </c>
      <c r="C299" s="111" t="s">
        <v>118</v>
      </c>
      <c r="D299" s="112"/>
    </row>
    <row r="300" spans="1:4" ht="16.5" x14ac:dyDescent="0.25">
      <c r="A300" s="109" t="s">
        <v>30</v>
      </c>
      <c r="B300" s="110">
        <v>1</v>
      </c>
      <c r="C300" s="111" t="s">
        <v>113</v>
      </c>
      <c r="D300" s="112"/>
    </row>
    <row r="301" spans="1:4" ht="16.5" x14ac:dyDescent="0.25">
      <c r="A301" s="109" t="s">
        <v>40</v>
      </c>
      <c r="B301" s="110">
        <v>1</v>
      </c>
      <c r="C301" s="111" t="s">
        <v>111</v>
      </c>
      <c r="D301" s="112"/>
    </row>
    <row r="302" spans="1:4" ht="33" x14ac:dyDescent="0.25">
      <c r="A302" s="113" t="s">
        <v>40</v>
      </c>
      <c r="B302" s="114">
        <v>14</v>
      </c>
      <c r="C302" s="115" t="s">
        <v>117</v>
      </c>
      <c r="D302" s="116"/>
    </row>
    <row r="303" spans="1:4" ht="16.5" x14ac:dyDescent="0.25">
      <c r="A303" s="113" t="s">
        <v>6</v>
      </c>
      <c r="B303" s="114"/>
      <c r="C303" s="115"/>
      <c r="D303" s="116"/>
    </row>
    <row r="304" spans="1:4" ht="16.5" x14ac:dyDescent="0.25">
      <c r="A304" s="113"/>
      <c r="B304" s="114"/>
      <c r="C304" s="115"/>
      <c r="D304" s="116"/>
    </row>
    <row r="305" spans="1:4" ht="17.25" thickBot="1" x14ac:dyDescent="0.3">
      <c r="A305" s="117"/>
      <c r="B305" s="118"/>
      <c r="C305" s="119"/>
      <c r="D305" s="120"/>
    </row>
    <row r="306" spans="1:4" ht="15" thickTop="1" thickBot="1" x14ac:dyDescent="0.3">
      <c r="A306" s="48" t="s">
        <v>22</v>
      </c>
      <c r="B306" s="48">
        <f>SUM(B289:B305)</f>
        <v>50</v>
      </c>
      <c r="C306" s="89" t="s">
        <v>28</v>
      </c>
      <c r="D306" s="49"/>
    </row>
    <row r="307" spans="1:4" ht="15" thickBot="1" x14ac:dyDescent="0.35">
      <c r="A307" s="50"/>
      <c r="B307" s="50"/>
      <c r="C307" s="50"/>
      <c r="D307" s="50"/>
    </row>
    <row r="308" spans="1:4" ht="18.75" thickBot="1" x14ac:dyDescent="0.3">
      <c r="A308" s="43" t="s">
        <v>14</v>
      </c>
      <c r="B308" s="44">
        <v>16</v>
      </c>
      <c r="C308" s="45" t="s">
        <v>23</v>
      </c>
      <c r="D308" s="54" t="s">
        <v>133</v>
      </c>
    </row>
    <row r="309" spans="1:4" ht="27.75" thickBot="1" x14ac:dyDescent="0.3">
      <c r="A309" s="46" t="s">
        <v>3</v>
      </c>
      <c r="B309" s="47" t="s">
        <v>15</v>
      </c>
      <c r="C309" s="46" t="s">
        <v>7</v>
      </c>
      <c r="D309" s="46" t="s">
        <v>13</v>
      </c>
    </row>
    <row r="310" spans="1:4" ht="33.75" thickTop="1" x14ac:dyDescent="0.25">
      <c r="A310" s="97" t="s">
        <v>29</v>
      </c>
      <c r="B310" s="98">
        <v>7</v>
      </c>
      <c r="C310" s="99" t="s">
        <v>134</v>
      </c>
      <c r="D310" s="100"/>
    </row>
    <row r="311" spans="1:4" ht="49.5" x14ac:dyDescent="0.25">
      <c r="A311" s="141" t="s">
        <v>29</v>
      </c>
      <c r="B311" s="142">
        <v>4</v>
      </c>
      <c r="C311" s="143" t="s">
        <v>135</v>
      </c>
      <c r="D311" s="144"/>
    </row>
    <row r="312" spans="1:4" ht="16.5" x14ac:dyDescent="0.25">
      <c r="A312" s="139" t="s">
        <v>30</v>
      </c>
      <c r="B312" s="139">
        <v>1</v>
      </c>
      <c r="C312" s="140" t="s">
        <v>50</v>
      </c>
      <c r="D312" s="144"/>
    </row>
    <row r="313" spans="1:4" ht="16.5" x14ac:dyDescent="0.25">
      <c r="A313" s="101"/>
      <c r="B313" s="102"/>
      <c r="C313" s="103"/>
      <c r="D313" s="104"/>
    </row>
    <row r="314" spans="1:4" ht="16.5" x14ac:dyDescent="0.25">
      <c r="A314" s="139"/>
      <c r="B314" s="139"/>
      <c r="C314" s="140"/>
      <c r="D314" s="104"/>
    </row>
    <row r="315" spans="1:4" ht="16.5" x14ac:dyDescent="0.25">
      <c r="A315" s="105"/>
      <c r="B315" s="106"/>
      <c r="C315" s="107"/>
      <c r="D315" s="108"/>
    </row>
    <row r="316" spans="1:4" ht="16.5" x14ac:dyDescent="0.25">
      <c r="A316" s="105"/>
      <c r="B316" s="106"/>
      <c r="C316" s="107"/>
      <c r="D316" s="108"/>
    </row>
    <row r="317" spans="1:4" ht="16.5" x14ac:dyDescent="0.25">
      <c r="A317" s="105"/>
      <c r="B317" s="106"/>
      <c r="C317" s="107"/>
      <c r="D317" s="108"/>
    </row>
    <row r="318" spans="1:4" ht="16.5" x14ac:dyDescent="0.25">
      <c r="A318" s="105"/>
      <c r="B318" s="106"/>
      <c r="C318" s="107"/>
      <c r="D318" s="108"/>
    </row>
    <row r="319" spans="1:4" ht="16.5" x14ac:dyDescent="0.25">
      <c r="A319" s="109"/>
      <c r="B319" s="110"/>
      <c r="C319" s="111"/>
      <c r="D319" s="112"/>
    </row>
    <row r="320" spans="1:4" ht="16.5" x14ac:dyDescent="0.25">
      <c r="A320" s="109"/>
      <c r="B320" s="110"/>
      <c r="C320" s="111"/>
      <c r="D320" s="112"/>
    </row>
    <row r="321" spans="1:4" ht="16.5" x14ac:dyDescent="0.25">
      <c r="A321" s="109"/>
      <c r="B321" s="110"/>
      <c r="C321" s="111"/>
      <c r="D321" s="112"/>
    </row>
    <row r="322" spans="1:4" ht="16.5" x14ac:dyDescent="0.25">
      <c r="A322" s="109"/>
      <c r="B322" s="110"/>
      <c r="C322" s="111"/>
      <c r="D322" s="112"/>
    </row>
    <row r="323" spans="1:4" ht="33" x14ac:dyDescent="0.25">
      <c r="A323" s="113" t="s">
        <v>38</v>
      </c>
      <c r="B323" s="114">
        <v>2</v>
      </c>
      <c r="C323" s="115" t="s">
        <v>136</v>
      </c>
      <c r="D323" s="116"/>
    </row>
    <row r="324" spans="1:4" ht="49.5" x14ac:dyDescent="0.25">
      <c r="A324" s="113" t="s">
        <v>31</v>
      </c>
      <c r="B324" s="114">
        <v>10</v>
      </c>
      <c r="C324" s="115" t="s">
        <v>137</v>
      </c>
      <c r="D324" s="116"/>
    </row>
    <row r="325" spans="1:4" ht="16.5" x14ac:dyDescent="0.25">
      <c r="A325" s="113"/>
      <c r="B325" s="114"/>
      <c r="C325" s="115"/>
      <c r="D325" s="116"/>
    </row>
    <row r="326" spans="1:4" ht="17.25" thickBot="1" x14ac:dyDescent="0.3">
      <c r="A326" s="117"/>
      <c r="B326" s="118"/>
      <c r="C326" s="119"/>
      <c r="D326" s="120"/>
    </row>
    <row r="327" spans="1:4" ht="15" thickTop="1" thickBot="1" x14ac:dyDescent="0.3">
      <c r="A327" s="48" t="s">
        <v>22</v>
      </c>
      <c r="B327" s="48">
        <f>SUM(B310:B326)</f>
        <v>24</v>
      </c>
      <c r="C327" s="89" t="s">
        <v>28</v>
      </c>
      <c r="D327" s="49"/>
    </row>
    <row r="328" spans="1:4" ht="14.25" x14ac:dyDescent="0.3">
      <c r="A328" s="50"/>
      <c r="B328" s="50"/>
      <c r="C328" s="50"/>
      <c r="D328" s="50"/>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22:B36 B250:B264 B3:B17 B269:B284 B41:B55 B60:B74 B98:B112 B117:B131 B136:B150 B79:B93 B155:B169 B193:B207 B174:B188 B212:B226 B231:B245 B289:B305 B310:B326">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B170 B189 B208 B227 B246 B265 B285 B306 B327">
      <formula1>0</formula1>
      <formula2>NbPerWeek * NbQuartPer</formula2>
    </dataValidation>
    <dataValidation type="list" allowBlank="1" showInputMessage="1" showErrorMessage="1" sqref="A22:A36 A250:A264 A3:A17 A269:A284 A41:A55 A60:A74 A98:A112 A117:A131 A136:A150 A79:A93 A155:A169 A193:A207 A174:A188 A212:A226 A231:A245 A289:A305 A310:A326">
      <formula1>lstTasks</formula1>
    </dataValidation>
  </dataValidations>
  <hyperlinks>
    <hyperlink ref="D29" r:id="rId1"/>
    <hyperlink ref="D98" r:id="rId2"/>
    <hyperlink ref="D155" r:id="rId3"/>
    <hyperlink ref="D212" r:id="rId4"/>
    <hyperlink ref="D231" r:id="rId5"/>
  </hyperlinks>
  <pageMargins left="0.7" right="0.7" top="0.75" bottom="0.75" header="0.3" footer="0.3"/>
  <pageSetup paperSize="9" orientation="portrait" r:id="rId6"/>
  <drawing r:id="rId7"/>
  <legacyDrawing r:id="rId8"/>
  <controls>
    <mc:AlternateContent xmlns:mc="http://schemas.openxmlformats.org/markup-compatibility/2006">
      <mc:Choice Requires="x14">
        <control shapeId="43009" r:id="rId9" name="btnImportRealisation">
          <controlPr defaultSize="0" autoLine="0" r:id="rId10">
            <anchor moveWithCells="1">
              <from>
                <xdr:col>4</xdr:col>
                <xdr:colOff>590550</xdr:colOff>
                <xdr:row>0</xdr:row>
                <xdr:rowOff>180975</xdr:rowOff>
              </from>
              <to>
                <xdr:col>7</xdr:col>
                <xdr:colOff>257175</xdr:colOff>
                <xdr:row>2</xdr:row>
                <xdr:rowOff>152400</xdr:rowOff>
              </to>
            </anchor>
          </controlPr>
        </control>
      </mc:Choice>
      <mc:Fallback>
        <control shapeId="43009" r:id="rId9"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dimension ref="A1:I225"/>
  <sheetViews>
    <sheetView workbookViewId="0">
      <selection activeCell="A3" sqref="A3"/>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ht="17.25" thickBot="1" x14ac:dyDescent="0.35">
      <c r="A3" s="126"/>
      <c r="B3" s="126"/>
      <c r="C3" s="126"/>
      <c r="D3" s="126"/>
    </row>
    <row r="4" spans="1:4" s="53" customFormat="1" ht="17.25" thickBot="1" x14ac:dyDescent="0.35">
      <c r="A4" s="126"/>
      <c r="B4" s="126"/>
      <c r="C4" s="126"/>
      <c r="D4" s="126"/>
    </row>
    <row r="5" spans="1:4" s="53" customFormat="1" ht="17.25" thickBot="1" x14ac:dyDescent="0.35">
      <c r="A5" s="126"/>
      <c r="B5" s="126"/>
      <c r="C5" s="126"/>
      <c r="D5" s="126"/>
    </row>
    <row r="6" spans="1:4" s="53" customFormat="1" ht="17.25" thickBot="1" x14ac:dyDescent="0.3">
      <c r="A6" s="127"/>
      <c r="B6" s="127"/>
      <c r="C6" s="128"/>
      <c r="D6" s="128"/>
    </row>
    <row r="7" spans="1:4" s="53" customFormat="1" ht="17.25" thickBot="1" x14ac:dyDescent="0.3">
      <c r="A7" s="127"/>
      <c r="B7" s="127"/>
      <c r="C7" s="128"/>
      <c r="D7" s="128"/>
    </row>
    <row r="8" spans="1:4" s="53" customFormat="1" ht="17.25" thickBot="1" x14ac:dyDescent="0.3">
      <c r="A8" s="127"/>
      <c r="B8" s="127"/>
      <c r="C8" s="128"/>
      <c r="D8" s="128"/>
    </row>
    <row r="9" spans="1:4" s="53" customFormat="1" ht="17.25" thickBot="1" x14ac:dyDescent="0.3">
      <c r="A9" s="129"/>
      <c r="B9" s="129"/>
      <c r="C9" s="130"/>
      <c r="D9" s="130"/>
    </row>
    <row r="10" spans="1:4" s="53" customFormat="1" ht="17.25" thickBot="1" x14ac:dyDescent="0.3">
      <c r="A10" s="129"/>
      <c r="B10" s="129"/>
      <c r="C10" s="130"/>
      <c r="D10" s="130"/>
    </row>
    <row r="11" spans="1:4" s="53" customFormat="1" ht="17.25" thickBot="1" x14ac:dyDescent="0.3">
      <c r="A11" s="131"/>
      <c r="B11" s="131"/>
      <c r="C11" s="132"/>
      <c r="D11" s="132"/>
    </row>
    <row r="12" spans="1:4" s="53" customFormat="1" ht="17.25" thickBot="1" x14ac:dyDescent="0.3">
      <c r="A12" s="131"/>
      <c r="B12" s="131"/>
      <c r="C12" s="132"/>
      <c r="D12" s="132"/>
    </row>
    <row r="13" spans="1:4" ht="14.25" thickBot="1" x14ac:dyDescent="0.3">
      <c r="A13" s="12" t="s">
        <v>22</v>
      </c>
      <c r="B13" s="12">
        <f>SUM(B3:B12)</f>
        <v>0</v>
      </c>
      <c r="C13" s="91" t="s">
        <v>28</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121" t="s">
        <v>3</v>
      </c>
      <c r="B16" s="122" t="s">
        <v>15</v>
      </c>
      <c r="C16" s="121" t="s">
        <v>7</v>
      </c>
      <c r="D16" s="121" t="s">
        <v>13</v>
      </c>
    </row>
    <row r="17" spans="1:9" ht="17.25" thickBot="1" x14ac:dyDescent="0.35">
      <c r="A17" s="126"/>
      <c r="B17" s="126"/>
      <c r="C17" s="126"/>
      <c r="D17" s="126"/>
    </row>
    <row r="18" spans="1:9" ht="17.25" thickBot="1" x14ac:dyDescent="0.35">
      <c r="A18" s="126"/>
      <c r="B18" s="126"/>
      <c r="C18" s="126"/>
      <c r="D18" s="126"/>
    </row>
    <row r="19" spans="1:9" ht="17.25" thickBot="1" x14ac:dyDescent="0.35">
      <c r="A19" s="126"/>
      <c r="B19" s="126"/>
      <c r="C19" s="126"/>
      <c r="D19" s="126"/>
      <c r="E19" s="20"/>
      <c r="F19" s="20"/>
      <c r="G19" s="20"/>
      <c r="H19" s="20"/>
      <c r="I19" s="20"/>
    </row>
    <row r="20" spans="1:9" ht="12.75" customHeight="1" thickBot="1" x14ac:dyDescent="0.3">
      <c r="A20" s="127"/>
      <c r="B20" s="127"/>
      <c r="C20" s="128"/>
      <c r="D20" s="128"/>
      <c r="E20" s="20"/>
      <c r="F20" s="32"/>
      <c r="G20" s="33"/>
      <c r="H20" s="34"/>
      <c r="I20" s="20"/>
    </row>
    <row r="21" spans="1:9" ht="17.25" thickBot="1" x14ac:dyDescent="0.3">
      <c r="A21" s="127"/>
      <c r="B21" s="127"/>
      <c r="C21" s="128"/>
      <c r="D21" s="128"/>
      <c r="E21" s="20"/>
      <c r="F21" s="35"/>
      <c r="G21" s="31"/>
      <c r="H21" s="31"/>
      <c r="I21" s="20"/>
    </row>
    <row r="22" spans="1:9" ht="17.25" thickBot="1" x14ac:dyDescent="0.3">
      <c r="A22" s="127"/>
      <c r="B22" s="127"/>
      <c r="C22" s="128"/>
      <c r="D22" s="128"/>
      <c r="E22" s="20"/>
      <c r="F22" s="37"/>
      <c r="G22" s="38"/>
      <c r="H22" s="38"/>
      <c r="I22" s="20"/>
    </row>
    <row r="23" spans="1:9" ht="17.25" thickBot="1" x14ac:dyDescent="0.3">
      <c r="A23" s="129"/>
      <c r="B23" s="129"/>
      <c r="C23" s="130"/>
      <c r="D23" s="130"/>
      <c r="E23" s="20"/>
      <c r="F23" s="37"/>
      <c r="G23" s="38"/>
      <c r="H23" s="38"/>
      <c r="I23" s="20"/>
    </row>
    <row r="24" spans="1:9" ht="17.25" thickBot="1" x14ac:dyDescent="0.3">
      <c r="A24" s="129"/>
      <c r="B24" s="129"/>
      <c r="C24" s="130"/>
      <c r="D24" s="130"/>
      <c r="E24" s="20"/>
      <c r="F24" s="37"/>
      <c r="G24" s="38"/>
      <c r="H24" s="38"/>
      <c r="I24" s="20"/>
    </row>
    <row r="25" spans="1:9" ht="17.25" thickBot="1" x14ac:dyDescent="0.3">
      <c r="A25" s="131"/>
      <c r="B25" s="131"/>
      <c r="C25" s="132"/>
      <c r="D25" s="132"/>
      <c r="E25" s="20"/>
      <c r="F25" s="37"/>
      <c r="G25" s="38"/>
      <c r="H25" s="38"/>
      <c r="I25" s="20"/>
    </row>
    <row r="26" spans="1:9" ht="17.25" thickBot="1" x14ac:dyDescent="0.3">
      <c r="A26" s="131"/>
      <c r="B26" s="131"/>
      <c r="C26" s="132"/>
      <c r="D26" s="132"/>
      <c r="E26" s="20"/>
      <c r="F26" s="37"/>
      <c r="G26" s="38"/>
      <c r="H26" s="38"/>
      <c r="I26" s="20"/>
    </row>
    <row r="27" spans="1:9" ht="14.25" thickBot="1" x14ac:dyDescent="0.3">
      <c r="A27" s="123" t="s">
        <v>22</v>
      </c>
      <c r="B27" s="123">
        <f>SUM(B17:B26)</f>
        <v>0</v>
      </c>
      <c r="C27" s="124" t="s">
        <v>28</v>
      </c>
      <c r="D27" s="125"/>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17.25" thickBot="1" x14ac:dyDescent="0.35">
      <c r="A31" s="126"/>
      <c r="B31" s="126"/>
      <c r="C31" s="126"/>
      <c r="D31" s="126"/>
      <c r="E31" s="20"/>
      <c r="F31" s="41"/>
      <c r="G31" s="41"/>
      <c r="H31" s="41"/>
      <c r="I31" s="20"/>
    </row>
    <row r="32" spans="1:9" ht="17.25" thickBot="1" x14ac:dyDescent="0.35">
      <c r="A32" s="126"/>
      <c r="B32" s="126"/>
      <c r="C32" s="126"/>
      <c r="D32" s="126"/>
      <c r="E32" s="20"/>
      <c r="F32" s="20"/>
      <c r="G32" s="20"/>
      <c r="H32" s="20"/>
      <c r="I32" s="20"/>
    </row>
    <row r="33" spans="1:9" ht="17.25" thickBot="1" x14ac:dyDescent="0.35">
      <c r="A33" s="126"/>
      <c r="B33" s="126"/>
      <c r="C33" s="126"/>
      <c r="D33" s="126"/>
      <c r="E33" s="20"/>
      <c r="F33" s="20"/>
      <c r="G33" s="20"/>
      <c r="H33" s="20"/>
      <c r="I33" s="20"/>
    </row>
    <row r="34" spans="1:9" ht="17.25" thickBot="1" x14ac:dyDescent="0.3">
      <c r="A34" s="127"/>
      <c r="B34" s="127"/>
      <c r="C34" s="128"/>
      <c r="D34" s="128"/>
      <c r="E34" s="20"/>
      <c r="F34" s="20"/>
      <c r="G34" s="20"/>
      <c r="H34" s="20"/>
      <c r="I34" s="20"/>
    </row>
    <row r="35" spans="1:9" ht="17.25" thickBot="1" x14ac:dyDescent="0.3">
      <c r="A35" s="127"/>
      <c r="B35" s="127"/>
      <c r="C35" s="128"/>
      <c r="D35" s="128"/>
    </row>
    <row r="36" spans="1:9" ht="17.25" thickBot="1" x14ac:dyDescent="0.3">
      <c r="A36" s="127"/>
      <c r="B36" s="127"/>
      <c r="C36" s="128"/>
      <c r="D36" s="128"/>
    </row>
    <row r="37" spans="1:9" ht="17.25" thickBot="1" x14ac:dyDescent="0.3">
      <c r="A37" s="129"/>
      <c r="B37" s="129"/>
      <c r="C37" s="130"/>
      <c r="D37" s="130"/>
    </row>
    <row r="38" spans="1:9" ht="17.25" thickBot="1" x14ac:dyDescent="0.3">
      <c r="A38" s="129"/>
      <c r="B38" s="129"/>
      <c r="C38" s="130"/>
      <c r="D38" s="130"/>
    </row>
    <row r="39" spans="1:9" ht="17.25" thickBot="1" x14ac:dyDescent="0.3">
      <c r="A39" s="131"/>
      <c r="B39" s="131"/>
      <c r="C39" s="132"/>
      <c r="D39" s="132"/>
    </row>
    <row r="40" spans="1:9" ht="17.25" thickBot="1" x14ac:dyDescent="0.3">
      <c r="A40" s="131"/>
      <c r="B40" s="131"/>
      <c r="C40" s="132"/>
      <c r="D40" s="132"/>
    </row>
    <row r="41" spans="1:9" ht="14.25" thickBot="1" x14ac:dyDescent="0.3">
      <c r="A41" s="12" t="s">
        <v>22</v>
      </c>
      <c r="B41" s="12">
        <f>SUM(B31:B40)</f>
        <v>0</v>
      </c>
      <c r="C41" s="91" t="s">
        <v>28</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ht="17.25" thickBot="1" x14ac:dyDescent="0.35">
      <c r="A45" s="126"/>
      <c r="B45" s="126"/>
      <c r="C45" s="126"/>
      <c r="D45" s="126"/>
    </row>
    <row r="46" spans="1:9" ht="17.25" thickBot="1" x14ac:dyDescent="0.35">
      <c r="A46" s="126"/>
      <c r="B46" s="126"/>
      <c r="C46" s="126"/>
      <c r="D46" s="126"/>
    </row>
    <row r="47" spans="1:9" ht="17.25" thickBot="1" x14ac:dyDescent="0.35">
      <c r="A47" s="126"/>
      <c r="B47" s="126"/>
      <c r="C47" s="126"/>
      <c r="D47" s="126"/>
    </row>
    <row r="48" spans="1:9" ht="17.25" thickBot="1" x14ac:dyDescent="0.3">
      <c r="A48" s="127"/>
      <c r="B48" s="127"/>
      <c r="C48" s="128"/>
      <c r="D48" s="128"/>
    </row>
    <row r="49" spans="1:4" ht="17.25" thickBot="1" x14ac:dyDescent="0.3">
      <c r="A49" s="127"/>
      <c r="B49" s="127"/>
      <c r="C49" s="128"/>
      <c r="D49" s="128"/>
    </row>
    <row r="50" spans="1:4" ht="17.25" thickBot="1" x14ac:dyDescent="0.3">
      <c r="A50" s="127"/>
      <c r="B50" s="127"/>
      <c r="C50" s="128"/>
      <c r="D50" s="128"/>
    </row>
    <row r="51" spans="1:4" ht="17.25" thickBot="1" x14ac:dyDescent="0.3">
      <c r="A51" s="129"/>
      <c r="B51" s="129"/>
      <c r="C51" s="130"/>
      <c r="D51" s="130"/>
    </row>
    <row r="52" spans="1:4" ht="17.25" thickBot="1" x14ac:dyDescent="0.3">
      <c r="A52" s="129"/>
      <c r="B52" s="129"/>
      <c r="C52" s="130"/>
      <c r="D52" s="130"/>
    </row>
    <row r="53" spans="1:4" ht="17.25" thickBot="1" x14ac:dyDescent="0.3">
      <c r="A53" s="131"/>
      <c r="B53" s="131"/>
      <c r="C53" s="132"/>
      <c r="D53" s="132"/>
    </row>
    <row r="54" spans="1:4" ht="17.25" thickBot="1" x14ac:dyDescent="0.3">
      <c r="A54" s="131"/>
      <c r="B54" s="131"/>
      <c r="C54" s="132"/>
      <c r="D54" s="132"/>
    </row>
    <row r="55" spans="1:4" ht="14.25" thickBot="1" x14ac:dyDescent="0.3">
      <c r="A55" s="12" t="s">
        <v>22</v>
      </c>
      <c r="B55" s="12">
        <f>SUM(B45:B54)</f>
        <v>0</v>
      </c>
      <c r="C55" s="91" t="s">
        <v>28</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ht="17.25" thickBot="1" x14ac:dyDescent="0.35">
      <c r="A59" s="126"/>
      <c r="B59" s="126"/>
      <c r="C59" s="126"/>
      <c r="D59" s="126"/>
    </row>
    <row r="60" spans="1:4" ht="17.25" thickBot="1" x14ac:dyDescent="0.35">
      <c r="A60" s="126"/>
      <c r="B60" s="126"/>
      <c r="C60" s="126"/>
      <c r="D60" s="126"/>
    </row>
    <row r="61" spans="1:4" ht="17.25" thickBot="1" x14ac:dyDescent="0.35">
      <c r="A61" s="126"/>
      <c r="B61" s="126"/>
      <c r="C61" s="126"/>
      <c r="D61" s="126"/>
    </row>
    <row r="62" spans="1:4" ht="17.25" thickBot="1" x14ac:dyDescent="0.3">
      <c r="A62" s="127"/>
      <c r="B62" s="127"/>
      <c r="C62" s="128"/>
      <c r="D62" s="128"/>
    </row>
    <row r="63" spans="1:4" ht="17.25" thickBot="1" x14ac:dyDescent="0.3">
      <c r="A63" s="127"/>
      <c r="B63" s="127"/>
      <c r="C63" s="128"/>
      <c r="D63" s="128"/>
    </row>
    <row r="64" spans="1:4" ht="17.25" thickBot="1" x14ac:dyDescent="0.3">
      <c r="A64" s="127"/>
      <c r="B64" s="127"/>
      <c r="C64" s="128"/>
      <c r="D64" s="128"/>
    </row>
    <row r="65" spans="1:4" ht="17.25" thickBot="1" x14ac:dyDescent="0.3">
      <c r="A65" s="129"/>
      <c r="B65" s="129"/>
      <c r="C65" s="130"/>
      <c r="D65" s="130"/>
    </row>
    <row r="66" spans="1:4" ht="17.25" thickBot="1" x14ac:dyDescent="0.3">
      <c r="A66" s="129"/>
      <c r="B66" s="129"/>
      <c r="C66" s="130"/>
      <c r="D66" s="130"/>
    </row>
    <row r="67" spans="1:4" ht="17.25" thickBot="1" x14ac:dyDescent="0.3">
      <c r="A67" s="131"/>
      <c r="B67" s="131"/>
      <c r="C67" s="132"/>
      <c r="D67" s="132"/>
    </row>
    <row r="68" spans="1:4" ht="17.25" thickBot="1" x14ac:dyDescent="0.3">
      <c r="A68" s="131"/>
      <c r="B68" s="131"/>
      <c r="C68" s="132"/>
      <c r="D68" s="132"/>
    </row>
    <row r="69" spans="1:4" ht="14.25" thickBot="1" x14ac:dyDescent="0.3">
      <c r="A69" s="12" t="s">
        <v>22</v>
      </c>
      <c r="B69" s="12">
        <f>SUM(B59:B68)</f>
        <v>0</v>
      </c>
      <c r="C69" s="91" t="s">
        <v>28</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ht="17.25" thickBot="1" x14ac:dyDescent="0.35">
      <c r="A73" s="126"/>
      <c r="B73" s="126"/>
      <c r="C73" s="126"/>
      <c r="D73" s="126"/>
    </row>
    <row r="74" spans="1:4" ht="17.25" thickBot="1" x14ac:dyDescent="0.35">
      <c r="A74" s="126"/>
      <c r="B74" s="126"/>
      <c r="C74" s="126"/>
      <c r="D74" s="126"/>
    </row>
    <row r="75" spans="1:4" ht="17.25" thickBot="1" x14ac:dyDescent="0.35">
      <c r="A75" s="126"/>
      <c r="B75" s="126"/>
      <c r="C75" s="126"/>
      <c r="D75" s="126"/>
    </row>
    <row r="76" spans="1:4" ht="17.25" thickBot="1" x14ac:dyDescent="0.3">
      <c r="A76" s="127"/>
      <c r="B76" s="127"/>
      <c r="C76" s="128"/>
      <c r="D76" s="128"/>
    </row>
    <row r="77" spans="1:4" ht="17.25" thickBot="1" x14ac:dyDescent="0.3">
      <c r="A77" s="127"/>
      <c r="B77" s="127"/>
      <c r="C77" s="128"/>
      <c r="D77" s="128"/>
    </row>
    <row r="78" spans="1:4" ht="17.25" thickBot="1" x14ac:dyDescent="0.3">
      <c r="A78" s="127"/>
      <c r="B78" s="127"/>
      <c r="C78" s="128"/>
      <c r="D78" s="128"/>
    </row>
    <row r="79" spans="1:4" ht="17.25" thickBot="1" x14ac:dyDescent="0.3">
      <c r="A79" s="129"/>
      <c r="B79" s="129"/>
      <c r="C79" s="130"/>
      <c r="D79" s="130"/>
    </row>
    <row r="80" spans="1:4" ht="17.25" thickBot="1" x14ac:dyDescent="0.3">
      <c r="A80" s="129"/>
      <c r="B80" s="129"/>
      <c r="C80" s="130"/>
      <c r="D80" s="130"/>
    </row>
    <row r="81" spans="1:4" ht="17.25" thickBot="1" x14ac:dyDescent="0.3">
      <c r="A81" s="131"/>
      <c r="B81" s="131"/>
      <c r="C81" s="132"/>
      <c r="D81" s="132"/>
    </row>
    <row r="82" spans="1:4" ht="17.25" thickBot="1" x14ac:dyDescent="0.3">
      <c r="A82" s="131"/>
      <c r="B82" s="131"/>
      <c r="C82" s="132"/>
      <c r="D82" s="132"/>
    </row>
    <row r="83" spans="1:4" ht="14.25" thickBot="1" x14ac:dyDescent="0.3">
      <c r="A83" s="12" t="s">
        <v>22</v>
      </c>
      <c r="B83" s="12">
        <f>SUM(B73:B82)</f>
        <v>0</v>
      </c>
      <c r="C83" s="91" t="s">
        <v>28</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ht="17.25" thickBot="1" x14ac:dyDescent="0.35">
      <c r="A87" s="126"/>
      <c r="B87" s="126"/>
      <c r="C87" s="126"/>
      <c r="D87" s="126"/>
    </row>
    <row r="88" spans="1:4" ht="17.25" thickBot="1" x14ac:dyDescent="0.35">
      <c r="A88" s="126"/>
      <c r="B88" s="126"/>
      <c r="C88" s="126"/>
      <c r="D88" s="126"/>
    </row>
    <row r="89" spans="1:4" ht="17.25" thickBot="1" x14ac:dyDescent="0.35">
      <c r="A89" s="126"/>
      <c r="B89" s="126"/>
      <c r="C89" s="126"/>
      <c r="D89" s="126"/>
    </row>
    <row r="90" spans="1:4" ht="17.25" thickBot="1" x14ac:dyDescent="0.3">
      <c r="A90" s="127"/>
      <c r="B90" s="127"/>
      <c r="C90" s="128"/>
      <c r="D90" s="128"/>
    </row>
    <row r="91" spans="1:4" ht="17.25" thickBot="1" x14ac:dyDescent="0.3">
      <c r="A91" s="127"/>
      <c r="B91" s="127"/>
      <c r="C91" s="128"/>
      <c r="D91" s="128"/>
    </row>
    <row r="92" spans="1:4" ht="17.25" thickBot="1" x14ac:dyDescent="0.3">
      <c r="A92" s="127"/>
      <c r="B92" s="127"/>
      <c r="C92" s="128"/>
      <c r="D92" s="128"/>
    </row>
    <row r="93" spans="1:4" ht="17.25" thickBot="1" x14ac:dyDescent="0.3">
      <c r="A93" s="129"/>
      <c r="B93" s="129"/>
      <c r="C93" s="130"/>
      <c r="D93" s="130"/>
    </row>
    <row r="94" spans="1:4" ht="17.25" thickBot="1" x14ac:dyDescent="0.3">
      <c r="A94" s="129"/>
      <c r="B94" s="129"/>
      <c r="C94" s="130"/>
      <c r="D94" s="130"/>
    </row>
    <row r="95" spans="1:4" ht="17.25" thickBot="1" x14ac:dyDescent="0.3">
      <c r="A95" s="131"/>
      <c r="B95" s="131"/>
      <c r="C95" s="132"/>
      <c r="D95" s="132"/>
    </row>
    <row r="96" spans="1:4" ht="17.25" thickBot="1" x14ac:dyDescent="0.3">
      <c r="A96" s="131"/>
      <c r="B96" s="131"/>
      <c r="C96" s="132"/>
      <c r="D96" s="132"/>
    </row>
    <row r="97" spans="1:4" ht="14.25" thickBot="1" x14ac:dyDescent="0.3">
      <c r="A97" s="12" t="s">
        <v>22</v>
      </c>
      <c r="B97" s="12">
        <f>SUM(B87:B96)</f>
        <v>0</v>
      </c>
      <c r="C97" s="91" t="s">
        <v>28</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ht="17.25" thickBot="1" x14ac:dyDescent="0.35">
      <c r="A101" s="126"/>
      <c r="B101" s="126"/>
      <c r="C101" s="126"/>
      <c r="D101" s="126"/>
    </row>
    <row r="102" spans="1:4" ht="17.25" thickBot="1" x14ac:dyDescent="0.35">
      <c r="A102" s="126"/>
      <c r="B102" s="126"/>
      <c r="C102" s="126"/>
      <c r="D102" s="126"/>
    </row>
    <row r="103" spans="1:4" ht="17.25" thickBot="1" x14ac:dyDescent="0.35">
      <c r="A103" s="126"/>
      <c r="B103" s="126"/>
      <c r="C103" s="126"/>
      <c r="D103" s="126"/>
    </row>
    <row r="104" spans="1:4" ht="17.25" thickBot="1" x14ac:dyDescent="0.3">
      <c r="A104" s="127"/>
      <c r="B104" s="127"/>
      <c r="C104" s="128"/>
      <c r="D104" s="128"/>
    </row>
    <row r="105" spans="1:4" ht="17.25" thickBot="1" x14ac:dyDescent="0.3">
      <c r="A105" s="127"/>
      <c r="B105" s="127"/>
      <c r="C105" s="128"/>
      <c r="D105" s="128"/>
    </row>
    <row r="106" spans="1:4" ht="17.25" thickBot="1" x14ac:dyDescent="0.3">
      <c r="A106" s="127"/>
      <c r="B106" s="127"/>
      <c r="C106" s="128"/>
      <c r="D106" s="128"/>
    </row>
    <row r="107" spans="1:4" ht="17.25" thickBot="1" x14ac:dyDescent="0.3">
      <c r="A107" s="129"/>
      <c r="B107" s="129"/>
      <c r="C107" s="130"/>
      <c r="D107" s="130"/>
    </row>
    <row r="108" spans="1:4" ht="17.25" thickBot="1" x14ac:dyDescent="0.3">
      <c r="A108" s="129"/>
      <c r="B108" s="129"/>
      <c r="C108" s="130"/>
      <c r="D108" s="130"/>
    </row>
    <row r="109" spans="1:4" ht="17.25" thickBot="1" x14ac:dyDescent="0.3">
      <c r="A109" s="131"/>
      <c r="B109" s="131"/>
      <c r="C109" s="132"/>
      <c r="D109" s="132"/>
    </row>
    <row r="110" spans="1:4" ht="17.25" thickBot="1" x14ac:dyDescent="0.3">
      <c r="A110" s="131"/>
      <c r="B110" s="131"/>
      <c r="C110" s="132"/>
      <c r="D110" s="132"/>
    </row>
    <row r="111" spans="1:4" ht="14.25" thickBot="1" x14ac:dyDescent="0.3">
      <c r="A111" s="12" t="s">
        <v>22</v>
      </c>
      <c r="B111" s="12">
        <f>SUM(B101:B110)</f>
        <v>0</v>
      </c>
      <c r="C111" s="91" t="s">
        <v>28</v>
      </c>
      <c r="D111" s="13"/>
    </row>
    <row r="112" spans="1:4" ht="15" thickBot="1" x14ac:dyDescent="0.35">
      <c r="A112" s="14"/>
      <c r="B112" s="14"/>
      <c r="C112" s="14"/>
      <c r="D112" s="14"/>
    </row>
    <row r="113" spans="1:4" ht="18.75" thickBot="1" x14ac:dyDescent="0.3">
      <c r="A113" s="6" t="s">
        <v>14</v>
      </c>
      <c r="B113" s="7">
        <v>9</v>
      </c>
      <c r="C113" s="17"/>
      <c r="D113" s="87"/>
    </row>
    <row r="114" spans="1:4" ht="27.75" thickBot="1" x14ac:dyDescent="0.3">
      <c r="A114" s="8" t="s">
        <v>3</v>
      </c>
      <c r="B114" s="18" t="s">
        <v>15</v>
      </c>
      <c r="C114" s="8" t="s">
        <v>7</v>
      </c>
      <c r="D114" s="8" t="s">
        <v>13</v>
      </c>
    </row>
    <row r="115" spans="1:4" ht="17.25" thickBot="1" x14ac:dyDescent="0.35">
      <c r="A115" s="126"/>
      <c r="B115" s="126"/>
      <c r="C115" s="126"/>
      <c r="D115" s="126"/>
    </row>
    <row r="116" spans="1:4" ht="17.25" thickBot="1" x14ac:dyDescent="0.35">
      <c r="A116" s="126"/>
      <c r="B116" s="126"/>
      <c r="C116" s="126"/>
      <c r="D116" s="126"/>
    </row>
    <row r="117" spans="1:4" ht="17.25" thickBot="1" x14ac:dyDescent="0.35">
      <c r="A117" s="126"/>
      <c r="B117" s="126"/>
      <c r="C117" s="126"/>
      <c r="D117" s="126"/>
    </row>
    <row r="118" spans="1:4" ht="17.25" thickBot="1" x14ac:dyDescent="0.3">
      <c r="A118" s="127"/>
      <c r="B118" s="127"/>
      <c r="C118" s="128"/>
      <c r="D118" s="128"/>
    </row>
    <row r="119" spans="1:4" ht="17.25" thickBot="1" x14ac:dyDescent="0.3">
      <c r="A119" s="127"/>
      <c r="B119" s="127"/>
      <c r="C119" s="128"/>
      <c r="D119" s="128"/>
    </row>
    <row r="120" spans="1:4" ht="17.25" thickBot="1" x14ac:dyDescent="0.3">
      <c r="A120" s="127"/>
      <c r="B120" s="127"/>
      <c r="C120" s="128"/>
      <c r="D120" s="128"/>
    </row>
    <row r="121" spans="1:4" ht="17.25" thickBot="1" x14ac:dyDescent="0.3">
      <c r="A121" s="129"/>
      <c r="B121" s="129"/>
      <c r="C121" s="130"/>
      <c r="D121" s="130"/>
    </row>
    <row r="122" spans="1:4" ht="17.25" thickBot="1" x14ac:dyDescent="0.3">
      <c r="A122" s="129"/>
      <c r="B122" s="129"/>
      <c r="C122" s="130"/>
      <c r="D122" s="130"/>
    </row>
    <row r="123" spans="1:4" ht="17.25" thickBot="1" x14ac:dyDescent="0.3">
      <c r="A123" s="131"/>
      <c r="B123" s="131"/>
      <c r="C123" s="132"/>
      <c r="D123" s="132"/>
    </row>
    <row r="124" spans="1:4" ht="17.25" thickBot="1" x14ac:dyDescent="0.3">
      <c r="A124" s="131"/>
      <c r="B124" s="131"/>
      <c r="C124" s="132"/>
      <c r="D124" s="132"/>
    </row>
    <row r="125" spans="1:4" ht="14.25" thickBot="1" x14ac:dyDescent="0.3">
      <c r="A125" s="12" t="s">
        <v>22</v>
      </c>
      <c r="B125" s="12">
        <f>SUM(B115:B124)</f>
        <v>0</v>
      </c>
      <c r="C125" s="91" t="s">
        <v>28</v>
      </c>
      <c r="D125" s="13"/>
    </row>
    <row r="126" spans="1:4" ht="15" thickBot="1" x14ac:dyDescent="0.35">
      <c r="A126" s="14"/>
      <c r="B126" s="14"/>
      <c r="C126" s="14"/>
      <c r="D126" s="14"/>
    </row>
    <row r="127" spans="1:4" ht="18.75" thickBot="1" x14ac:dyDescent="0.3">
      <c r="A127" s="6" t="s">
        <v>14</v>
      </c>
      <c r="B127" s="7">
        <v>10</v>
      </c>
      <c r="C127" s="17"/>
      <c r="D127" s="87"/>
    </row>
    <row r="128" spans="1:4" ht="27.75" thickBot="1" x14ac:dyDescent="0.3">
      <c r="A128" s="8" t="s">
        <v>3</v>
      </c>
      <c r="B128" s="18" t="s">
        <v>15</v>
      </c>
      <c r="C128" s="8" t="s">
        <v>7</v>
      </c>
      <c r="D128" s="8" t="s">
        <v>13</v>
      </c>
    </row>
    <row r="129" spans="1:4" ht="17.25" thickBot="1" x14ac:dyDescent="0.35">
      <c r="A129" s="126"/>
      <c r="B129" s="126"/>
      <c r="C129" s="126"/>
      <c r="D129" s="126"/>
    </row>
    <row r="130" spans="1:4" ht="17.25" thickBot="1" x14ac:dyDescent="0.35">
      <c r="A130" s="126"/>
      <c r="B130" s="126"/>
      <c r="C130" s="126"/>
      <c r="D130" s="126"/>
    </row>
    <row r="131" spans="1:4" ht="17.25" thickBot="1" x14ac:dyDescent="0.35">
      <c r="A131" s="126"/>
      <c r="B131" s="126"/>
      <c r="C131" s="126"/>
      <c r="D131" s="126"/>
    </row>
    <row r="132" spans="1:4" ht="17.25" thickBot="1" x14ac:dyDescent="0.3">
      <c r="A132" s="127"/>
      <c r="B132" s="127"/>
      <c r="C132" s="128"/>
      <c r="D132" s="128"/>
    </row>
    <row r="133" spans="1:4" ht="17.25" thickBot="1" x14ac:dyDescent="0.3">
      <c r="A133" s="127"/>
      <c r="B133" s="127"/>
      <c r="C133" s="128"/>
      <c r="D133" s="128"/>
    </row>
    <row r="134" spans="1:4" ht="17.25" thickBot="1" x14ac:dyDescent="0.3">
      <c r="A134" s="127"/>
      <c r="B134" s="127"/>
      <c r="C134" s="128"/>
      <c r="D134" s="128"/>
    </row>
    <row r="135" spans="1:4" ht="17.25" thickBot="1" x14ac:dyDescent="0.3">
      <c r="A135" s="129"/>
      <c r="B135" s="129"/>
      <c r="C135" s="130"/>
      <c r="D135" s="130"/>
    </row>
    <row r="136" spans="1:4" ht="17.25" thickBot="1" x14ac:dyDescent="0.3">
      <c r="A136" s="129"/>
      <c r="B136" s="129"/>
      <c r="C136" s="130"/>
      <c r="D136" s="130"/>
    </row>
    <row r="137" spans="1:4" ht="17.25" thickBot="1" x14ac:dyDescent="0.3">
      <c r="A137" s="131"/>
      <c r="B137" s="131"/>
      <c r="C137" s="132"/>
      <c r="D137" s="132"/>
    </row>
    <row r="138" spans="1:4" ht="17.25" thickBot="1" x14ac:dyDescent="0.3">
      <c r="A138" s="131"/>
      <c r="B138" s="131"/>
      <c r="C138" s="132"/>
      <c r="D138" s="132"/>
    </row>
    <row r="139" spans="1:4" ht="14.25" thickBot="1" x14ac:dyDescent="0.3">
      <c r="A139" s="12" t="s">
        <v>22</v>
      </c>
      <c r="B139" s="12">
        <f>SUM(B129:B138)</f>
        <v>0</v>
      </c>
      <c r="C139" s="91" t="s">
        <v>28</v>
      </c>
      <c r="D139" s="13"/>
    </row>
    <row r="140" spans="1:4" ht="15" thickBot="1" x14ac:dyDescent="0.35">
      <c r="A140" s="14"/>
      <c r="B140" s="14"/>
      <c r="C140" s="14"/>
      <c r="D140" s="14"/>
    </row>
    <row r="141" spans="1:4" ht="18.75" thickBot="1" x14ac:dyDescent="0.3">
      <c r="A141" s="6" t="s">
        <v>14</v>
      </c>
      <c r="B141" s="7">
        <v>11</v>
      </c>
      <c r="C141" s="17"/>
      <c r="D141" s="87"/>
    </row>
    <row r="142" spans="1:4" ht="27.75" thickBot="1" x14ac:dyDescent="0.3">
      <c r="A142" s="8" t="s">
        <v>3</v>
      </c>
      <c r="B142" s="18" t="s">
        <v>15</v>
      </c>
      <c r="C142" s="8" t="s">
        <v>7</v>
      </c>
      <c r="D142" s="8" t="s">
        <v>13</v>
      </c>
    </row>
    <row r="143" spans="1:4" ht="17.25" thickBot="1" x14ac:dyDescent="0.35">
      <c r="A143" s="126"/>
      <c r="B143" s="126"/>
      <c r="C143" s="126"/>
      <c r="D143" s="126"/>
    </row>
    <row r="144" spans="1:4" ht="17.25" thickBot="1" x14ac:dyDescent="0.35">
      <c r="A144" s="126"/>
      <c r="B144" s="126"/>
      <c r="C144" s="126"/>
      <c r="D144" s="126"/>
    </row>
    <row r="145" spans="1:4" ht="17.25" thickBot="1" x14ac:dyDescent="0.35">
      <c r="A145" s="126"/>
      <c r="B145" s="126"/>
      <c r="C145" s="126"/>
      <c r="D145" s="126"/>
    </row>
    <row r="146" spans="1:4" ht="17.25" thickBot="1" x14ac:dyDescent="0.3">
      <c r="A146" s="127"/>
      <c r="B146" s="127"/>
      <c r="C146" s="128"/>
      <c r="D146" s="128"/>
    </row>
    <row r="147" spans="1:4" ht="17.25" thickBot="1" x14ac:dyDescent="0.3">
      <c r="A147" s="127"/>
      <c r="B147" s="127"/>
      <c r="C147" s="128"/>
      <c r="D147" s="128"/>
    </row>
    <row r="148" spans="1:4" ht="17.25" thickBot="1" x14ac:dyDescent="0.3">
      <c r="A148" s="127"/>
      <c r="B148" s="127"/>
      <c r="C148" s="128"/>
      <c r="D148" s="128"/>
    </row>
    <row r="149" spans="1:4" ht="17.25" thickBot="1" x14ac:dyDescent="0.3">
      <c r="A149" s="129"/>
      <c r="B149" s="129"/>
      <c r="C149" s="130"/>
      <c r="D149" s="130"/>
    </row>
    <row r="150" spans="1:4" ht="17.25" thickBot="1" x14ac:dyDescent="0.3">
      <c r="A150" s="129"/>
      <c r="B150" s="129"/>
      <c r="C150" s="130"/>
      <c r="D150" s="130"/>
    </row>
    <row r="151" spans="1:4" ht="17.25" thickBot="1" x14ac:dyDescent="0.3">
      <c r="A151" s="131"/>
      <c r="B151" s="131"/>
      <c r="C151" s="132"/>
      <c r="D151" s="132"/>
    </row>
    <row r="152" spans="1:4" ht="17.25" thickBot="1" x14ac:dyDescent="0.3">
      <c r="A152" s="131"/>
      <c r="B152" s="131"/>
      <c r="C152" s="132"/>
      <c r="D152" s="132"/>
    </row>
    <row r="153" spans="1:4" ht="14.25" thickBot="1" x14ac:dyDescent="0.3">
      <c r="A153" s="12" t="s">
        <v>22</v>
      </c>
      <c r="B153" s="12">
        <f>SUM(B143:B152)</f>
        <v>0</v>
      </c>
      <c r="C153" s="91" t="s">
        <v>28</v>
      </c>
      <c r="D153" s="13"/>
    </row>
    <row r="154" spans="1:4" ht="15" thickBot="1" x14ac:dyDescent="0.35">
      <c r="A154" s="14"/>
      <c r="B154" s="14"/>
      <c r="C154" s="14"/>
      <c r="D154" s="14"/>
    </row>
    <row r="155" spans="1:4" ht="18.75" thickBot="1" x14ac:dyDescent="0.3">
      <c r="A155" s="6" t="s">
        <v>14</v>
      </c>
      <c r="B155" s="7">
        <v>12</v>
      </c>
      <c r="C155" s="17"/>
      <c r="D155" s="87"/>
    </row>
    <row r="156" spans="1:4" ht="27.75" thickBot="1" x14ac:dyDescent="0.3">
      <c r="A156" s="8" t="s">
        <v>3</v>
      </c>
      <c r="B156" s="18" t="s">
        <v>15</v>
      </c>
      <c r="C156" s="8" t="s">
        <v>7</v>
      </c>
      <c r="D156" s="8" t="s">
        <v>13</v>
      </c>
    </row>
    <row r="157" spans="1:4" ht="17.25" thickBot="1" x14ac:dyDescent="0.35">
      <c r="A157" s="126"/>
      <c r="B157" s="126"/>
      <c r="C157" s="126"/>
      <c r="D157" s="126"/>
    </row>
    <row r="158" spans="1:4" ht="17.25" thickBot="1" x14ac:dyDescent="0.35">
      <c r="A158" s="126"/>
      <c r="B158" s="126"/>
      <c r="C158" s="126"/>
      <c r="D158" s="126"/>
    </row>
    <row r="159" spans="1:4" ht="17.25" thickBot="1" x14ac:dyDescent="0.35">
      <c r="A159" s="126"/>
      <c r="B159" s="126"/>
      <c r="C159" s="126"/>
      <c r="D159" s="126"/>
    </row>
    <row r="160" spans="1:4" ht="17.25" thickBot="1" x14ac:dyDescent="0.3">
      <c r="A160" s="127"/>
      <c r="B160" s="127"/>
      <c r="C160" s="128"/>
      <c r="D160" s="128"/>
    </row>
    <row r="161" spans="1:4" ht="17.25" thickBot="1" x14ac:dyDescent="0.3">
      <c r="A161" s="127"/>
      <c r="B161" s="127"/>
      <c r="C161" s="128"/>
      <c r="D161" s="128"/>
    </row>
    <row r="162" spans="1:4" ht="17.25" thickBot="1" x14ac:dyDescent="0.3">
      <c r="A162" s="127"/>
      <c r="B162" s="127"/>
      <c r="C162" s="128"/>
      <c r="D162" s="128"/>
    </row>
    <row r="163" spans="1:4" ht="17.25" thickBot="1" x14ac:dyDescent="0.3">
      <c r="A163" s="129"/>
      <c r="B163" s="129"/>
      <c r="C163" s="130"/>
      <c r="D163" s="130"/>
    </row>
    <row r="164" spans="1:4" ht="17.25" thickBot="1" x14ac:dyDescent="0.3">
      <c r="A164" s="129"/>
      <c r="B164" s="129"/>
      <c r="C164" s="130"/>
      <c r="D164" s="130"/>
    </row>
    <row r="165" spans="1:4" ht="17.25" thickBot="1" x14ac:dyDescent="0.3">
      <c r="A165" s="131"/>
      <c r="B165" s="131"/>
      <c r="C165" s="132"/>
      <c r="D165" s="132"/>
    </row>
    <row r="166" spans="1:4" ht="17.25" thickBot="1" x14ac:dyDescent="0.3">
      <c r="A166" s="131"/>
      <c r="B166" s="131"/>
      <c r="C166" s="132"/>
      <c r="D166" s="132"/>
    </row>
    <row r="167" spans="1:4" ht="14.25" thickBot="1" x14ac:dyDescent="0.3">
      <c r="A167" s="12" t="s">
        <v>22</v>
      </c>
      <c r="B167" s="12">
        <f>SUM(B157:B166)</f>
        <v>0</v>
      </c>
      <c r="C167" s="91" t="s">
        <v>28</v>
      </c>
      <c r="D167" s="13"/>
    </row>
    <row r="168" spans="1:4" ht="15" thickBot="1" x14ac:dyDescent="0.35">
      <c r="A168" s="14"/>
      <c r="B168" s="14"/>
      <c r="C168" s="14"/>
      <c r="D168" s="14"/>
    </row>
    <row r="169" spans="1:4" ht="18.75" thickBot="1" x14ac:dyDescent="0.3">
      <c r="A169" s="6" t="s">
        <v>14</v>
      </c>
      <c r="B169" s="7">
        <v>13</v>
      </c>
      <c r="C169" s="17"/>
      <c r="D169" s="87"/>
    </row>
    <row r="170" spans="1:4" ht="27.75" thickBot="1" x14ac:dyDescent="0.3">
      <c r="A170" s="8" t="s">
        <v>3</v>
      </c>
      <c r="B170" s="18" t="s">
        <v>15</v>
      </c>
      <c r="C170" s="8" t="s">
        <v>7</v>
      </c>
      <c r="D170" s="8" t="s">
        <v>13</v>
      </c>
    </row>
    <row r="171" spans="1:4" ht="17.25" thickBot="1" x14ac:dyDescent="0.35">
      <c r="A171" s="126"/>
      <c r="B171" s="126"/>
      <c r="C171" s="126"/>
      <c r="D171" s="126"/>
    </row>
    <row r="172" spans="1:4" ht="17.25" thickBot="1" x14ac:dyDescent="0.35">
      <c r="A172" s="126"/>
      <c r="B172" s="126"/>
      <c r="C172" s="126"/>
      <c r="D172" s="126"/>
    </row>
    <row r="173" spans="1:4" ht="17.25" thickBot="1" x14ac:dyDescent="0.35">
      <c r="A173" s="126"/>
      <c r="B173" s="126"/>
      <c r="C173" s="126"/>
      <c r="D173" s="126"/>
    </row>
    <row r="174" spans="1:4" ht="17.25" thickBot="1" x14ac:dyDescent="0.3">
      <c r="A174" s="127"/>
      <c r="B174" s="127"/>
      <c r="C174" s="128"/>
      <c r="D174" s="128"/>
    </row>
    <row r="175" spans="1:4" ht="17.25" thickBot="1" x14ac:dyDescent="0.3">
      <c r="A175" s="127"/>
      <c r="B175" s="127"/>
      <c r="C175" s="128"/>
      <c r="D175" s="128"/>
    </row>
    <row r="176" spans="1:4" ht="17.25" thickBot="1" x14ac:dyDescent="0.3">
      <c r="A176" s="127"/>
      <c r="B176" s="127"/>
      <c r="C176" s="128"/>
      <c r="D176" s="128"/>
    </row>
    <row r="177" spans="1:4" ht="17.25" thickBot="1" x14ac:dyDescent="0.3">
      <c r="A177" s="129"/>
      <c r="B177" s="129"/>
      <c r="C177" s="130"/>
      <c r="D177" s="130"/>
    </row>
    <row r="178" spans="1:4" ht="17.25" thickBot="1" x14ac:dyDescent="0.3">
      <c r="A178" s="129"/>
      <c r="B178" s="129"/>
      <c r="C178" s="130"/>
      <c r="D178" s="130"/>
    </row>
    <row r="179" spans="1:4" ht="17.25" thickBot="1" x14ac:dyDescent="0.3">
      <c r="A179" s="131"/>
      <c r="B179" s="131"/>
      <c r="C179" s="132"/>
      <c r="D179" s="132"/>
    </row>
    <row r="180" spans="1:4" ht="17.25" thickBot="1" x14ac:dyDescent="0.3">
      <c r="A180" s="131"/>
      <c r="B180" s="131"/>
      <c r="C180" s="132"/>
      <c r="D180" s="132"/>
    </row>
    <row r="181" spans="1:4" ht="14.25" thickBot="1" x14ac:dyDescent="0.3">
      <c r="A181" s="12" t="s">
        <v>22</v>
      </c>
      <c r="B181" s="12">
        <f>SUM(B171:B180)</f>
        <v>0</v>
      </c>
      <c r="C181" s="91" t="s">
        <v>28</v>
      </c>
      <c r="D181" s="13"/>
    </row>
    <row r="182" spans="1:4" ht="15" thickBot="1" x14ac:dyDescent="0.35">
      <c r="A182" s="14"/>
      <c r="B182" s="14"/>
      <c r="C182" s="14"/>
      <c r="D182" s="14"/>
    </row>
    <row r="183" spans="1:4" ht="18.75" thickBot="1" x14ac:dyDescent="0.3">
      <c r="A183" s="6" t="s">
        <v>14</v>
      </c>
      <c r="B183" s="7">
        <v>14</v>
      </c>
      <c r="C183" s="17"/>
      <c r="D183" s="87"/>
    </row>
    <row r="184" spans="1:4" ht="27.75" thickBot="1" x14ac:dyDescent="0.3">
      <c r="A184" s="8" t="s">
        <v>3</v>
      </c>
      <c r="B184" s="18" t="s">
        <v>15</v>
      </c>
      <c r="C184" s="8" t="s">
        <v>7</v>
      </c>
      <c r="D184" s="8" t="s">
        <v>13</v>
      </c>
    </row>
    <row r="185" spans="1:4" ht="17.25" thickBot="1" x14ac:dyDescent="0.35">
      <c r="A185" s="126"/>
      <c r="B185" s="126"/>
      <c r="C185" s="126"/>
      <c r="D185" s="126"/>
    </row>
    <row r="186" spans="1:4" ht="17.25" thickBot="1" x14ac:dyDescent="0.35">
      <c r="A186" s="126"/>
      <c r="B186" s="126"/>
      <c r="C186" s="126"/>
      <c r="D186" s="126"/>
    </row>
    <row r="187" spans="1:4" ht="17.25" thickBot="1" x14ac:dyDescent="0.35">
      <c r="A187" s="126"/>
      <c r="B187" s="126"/>
      <c r="C187" s="126"/>
      <c r="D187" s="126"/>
    </row>
    <row r="188" spans="1:4" ht="17.25" thickBot="1" x14ac:dyDescent="0.3">
      <c r="A188" s="127"/>
      <c r="B188" s="127"/>
      <c r="C188" s="128"/>
      <c r="D188" s="128"/>
    </row>
    <row r="189" spans="1:4" ht="17.25" thickBot="1" x14ac:dyDescent="0.3">
      <c r="A189" s="127"/>
      <c r="B189" s="127"/>
      <c r="C189" s="128"/>
      <c r="D189" s="128"/>
    </row>
    <row r="190" spans="1:4" ht="17.25" thickBot="1" x14ac:dyDescent="0.3">
      <c r="A190" s="127"/>
      <c r="B190" s="127"/>
      <c r="C190" s="128"/>
      <c r="D190" s="128"/>
    </row>
    <row r="191" spans="1:4" ht="17.25" thickBot="1" x14ac:dyDescent="0.3">
      <c r="A191" s="129"/>
      <c r="B191" s="129"/>
      <c r="C191" s="130"/>
      <c r="D191" s="130"/>
    </row>
    <row r="192" spans="1:4" ht="17.25" thickBot="1" x14ac:dyDescent="0.3">
      <c r="A192" s="129"/>
      <c r="B192" s="129"/>
      <c r="C192" s="130"/>
      <c r="D192" s="130"/>
    </row>
    <row r="193" spans="1:4" ht="17.25" thickBot="1" x14ac:dyDescent="0.3">
      <c r="A193" s="131"/>
      <c r="B193" s="131"/>
      <c r="C193" s="132"/>
      <c r="D193" s="132"/>
    </row>
    <row r="194" spans="1:4" ht="17.25" thickBot="1" x14ac:dyDescent="0.3">
      <c r="A194" s="131"/>
      <c r="B194" s="131"/>
      <c r="C194" s="132"/>
      <c r="D194" s="132"/>
    </row>
    <row r="195" spans="1:4" ht="14.25" thickBot="1" x14ac:dyDescent="0.3">
      <c r="A195" s="12" t="s">
        <v>22</v>
      </c>
      <c r="B195" s="12">
        <f>SUM(B185:B194)</f>
        <v>0</v>
      </c>
      <c r="C195" s="91" t="s">
        <v>28</v>
      </c>
      <c r="D195" s="13"/>
    </row>
    <row r="196" spans="1:4" ht="15" thickBot="1" x14ac:dyDescent="0.35">
      <c r="A196" s="14"/>
      <c r="B196" s="14"/>
      <c r="C196" s="14"/>
      <c r="D196" s="14"/>
    </row>
    <row r="197" spans="1:4" ht="18.75" thickBot="1" x14ac:dyDescent="0.3">
      <c r="A197" s="6" t="s">
        <v>14</v>
      </c>
      <c r="B197" s="7">
        <v>15</v>
      </c>
      <c r="C197" s="17"/>
      <c r="D197" s="87"/>
    </row>
    <row r="198" spans="1:4" ht="27.75" thickBot="1" x14ac:dyDescent="0.3">
      <c r="A198" s="8" t="s">
        <v>3</v>
      </c>
      <c r="B198" s="18" t="s">
        <v>15</v>
      </c>
      <c r="C198" s="8" t="s">
        <v>7</v>
      </c>
      <c r="D198" s="8" t="s">
        <v>13</v>
      </c>
    </row>
    <row r="199" spans="1:4" ht="17.25" thickBot="1" x14ac:dyDescent="0.35">
      <c r="A199" s="126"/>
      <c r="B199" s="126"/>
      <c r="C199" s="126"/>
      <c r="D199" s="126"/>
    </row>
    <row r="200" spans="1:4" ht="17.25" thickBot="1" x14ac:dyDescent="0.35">
      <c r="A200" s="126"/>
      <c r="B200" s="126"/>
      <c r="C200" s="126"/>
      <c r="D200" s="126"/>
    </row>
    <row r="201" spans="1:4" ht="17.25" thickBot="1" x14ac:dyDescent="0.35">
      <c r="A201" s="126"/>
      <c r="B201" s="126"/>
      <c r="C201" s="126"/>
      <c r="D201" s="126"/>
    </row>
    <row r="202" spans="1:4" ht="17.25" thickBot="1" x14ac:dyDescent="0.3">
      <c r="A202" s="127"/>
      <c r="B202" s="127"/>
      <c r="C202" s="128"/>
      <c r="D202" s="128"/>
    </row>
    <row r="203" spans="1:4" ht="17.25" thickBot="1" x14ac:dyDescent="0.3">
      <c r="A203" s="127"/>
      <c r="B203" s="127"/>
      <c r="C203" s="128"/>
      <c r="D203" s="128"/>
    </row>
    <row r="204" spans="1:4" ht="17.25" thickBot="1" x14ac:dyDescent="0.3">
      <c r="A204" s="127"/>
      <c r="B204" s="127"/>
      <c r="C204" s="128"/>
      <c r="D204" s="128"/>
    </row>
    <row r="205" spans="1:4" ht="17.25" thickBot="1" x14ac:dyDescent="0.3">
      <c r="A205" s="129"/>
      <c r="B205" s="129"/>
      <c r="C205" s="130"/>
      <c r="D205" s="130"/>
    </row>
    <row r="206" spans="1:4" ht="17.25" thickBot="1" x14ac:dyDescent="0.3">
      <c r="A206" s="129"/>
      <c r="B206" s="129"/>
      <c r="C206" s="130"/>
      <c r="D206" s="130"/>
    </row>
    <row r="207" spans="1:4" ht="17.25" thickBot="1" x14ac:dyDescent="0.3">
      <c r="A207" s="131"/>
      <c r="B207" s="131"/>
      <c r="C207" s="132"/>
      <c r="D207" s="132"/>
    </row>
    <row r="208" spans="1:4" ht="17.25" thickBot="1" x14ac:dyDescent="0.3">
      <c r="A208" s="131"/>
      <c r="B208" s="131"/>
      <c r="C208" s="132"/>
      <c r="D208" s="132"/>
    </row>
    <row r="209" spans="1:4" ht="14.25" thickBot="1" x14ac:dyDescent="0.3">
      <c r="A209" s="12" t="s">
        <v>22</v>
      </c>
      <c r="B209" s="12">
        <f>SUM(B199:B208)</f>
        <v>0</v>
      </c>
      <c r="C209" s="91" t="s">
        <v>28</v>
      </c>
      <c r="D209" s="13"/>
    </row>
    <row r="210" spans="1:4" ht="15" thickBot="1" x14ac:dyDescent="0.35">
      <c r="A210" s="14"/>
      <c r="B210" s="14"/>
      <c r="C210" s="14"/>
      <c r="D210" s="14"/>
    </row>
    <row r="211" spans="1:4" ht="18.75" thickBot="1" x14ac:dyDescent="0.3">
      <c r="A211" s="6" t="s">
        <v>14</v>
      </c>
      <c r="B211" s="7">
        <v>16</v>
      </c>
      <c r="C211" s="17"/>
      <c r="D211" s="87"/>
    </row>
    <row r="212" spans="1:4" ht="27.75" thickBot="1" x14ac:dyDescent="0.3">
      <c r="A212" s="8" t="s">
        <v>3</v>
      </c>
      <c r="B212" s="18" t="s">
        <v>15</v>
      </c>
      <c r="C212" s="8" t="s">
        <v>7</v>
      </c>
      <c r="D212" s="8" t="s">
        <v>13</v>
      </c>
    </row>
    <row r="213" spans="1:4" ht="17.25" thickBot="1" x14ac:dyDescent="0.35">
      <c r="A213" s="126"/>
      <c r="B213" s="126"/>
      <c r="C213" s="126"/>
      <c r="D213" s="126"/>
    </row>
    <row r="214" spans="1:4" ht="17.25" thickBot="1" x14ac:dyDescent="0.35">
      <c r="A214" s="126"/>
      <c r="B214" s="126"/>
      <c r="C214" s="126"/>
      <c r="D214" s="126"/>
    </row>
    <row r="215" spans="1:4" ht="17.25" thickBot="1" x14ac:dyDescent="0.35">
      <c r="A215" s="126"/>
      <c r="B215" s="126"/>
      <c r="C215" s="126"/>
      <c r="D215" s="126"/>
    </row>
    <row r="216" spans="1:4" ht="17.25" thickBot="1" x14ac:dyDescent="0.3">
      <c r="A216" s="127"/>
      <c r="B216" s="127"/>
      <c r="C216" s="128"/>
      <c r="D216" s="128"/>
    </row>
    <row r="217" spans="1:4" ht="17.25" thickBot="1" x14ac:dyDescent="0.3">
      <c r="A217" s="127"/>
      <c r="B217" s="127"/>
      <c r="C217" s="128"/>
      <c r="D217" s="128"/>
    </row>
    <row r="218" spans="1:4" ht="17.25" thickBot="1" x14ac:dyDescent="0.3">
      <c r="A218" s="127"/>
      <c r="B218" s="127"/>
      <c r="C218" s="128"/>
      <c r="D218" s="128"/>
    </row>
    <row r="219" spans="1:4" ht="17.25" thickBot="1" x14ac:dyDescent="0.3">
      <c r="A219" s="129"/>
      <c r="B219" s="129"/>
      <c r="C219" s="130"/>
      <c r="D219" s="130"/>
    </row>
    <row r="220" spans="1:4" ht="17.25" thickBot="1" x14ac:dyDescent="0.3">
      <c r="A220" s="129"/>
      <c r="B220" s="129"/>
      <c r="C220" s="130"/>
      <c r="D220" s="130"/>
    </row>
    <row r="221" spans="1:4" ht="17.25" thickBot="1" x14ac:dyDescent="0.3">
      <c r="A221" s="131"/>
      <c r="B221" s="131"/>
      <c r="C221" s="132"/>
      <c r="D221" s="132"/>
    </row>
    <row r="222" spans="1:4" ht="17.25" thickBot="1" x14ac:dyDescent="0.3">
      <c r="A222" s="131"/>
      <c r="B222" s="131"/>
      <c r="C222" s="132"/>
      <c r="D222" s="132"/>
    </row>
    <row r="223" spans="1:4" ht="14.25" thickBot="1" x14ac:dyDescent="0.3">
      <c r="A223" s="12" t="s">
        <v>22</v>
      </c>
      <c r="B223" s="12">
        <f>SUM(B213:B222)</f>
        <v>0</v>
      </c>
      <c r="C223" s="91" t="s">
        <v>28</v>
      </c>
      <c r="D223" s="13"/>
    </row>
    <row r="224" spans="1:4" ht="14.25" x14ac:dyDescent="0.3">
      <c r="A224" s="14"/>
      <c r="B224" s="14"/>
      <c r="C224" s="14"/>
      <c r="D224" s="14"/>
    </row>
    <row r="225" spans="1:1" x14ac:dyDescent="0.25">
      <c r="A225" s="90" t="s">
        <v>27</v>
      </c>
    </row>
  </sheetData>
  <sheetProtection insertRows="0" selectLockedCells="1"/>
  <dataValidations count="4">
    <dataValidation type="list" allowBlank="1" showInputMessage="1" showErrorMessage="1" sqref="A213:A222 A17:A26 A199:A208 A31:A40 A45:A54 A59:A68 A73:A82 A87:A96 A101:A110 A115:A124 A129:A138 A143:A152 A157:A166 A171:A180 A185:A194 A3:A12">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B125 B139 B153 B167 B181 B195 B209 B223">
      <formula1>0</formula1>
      <formula2>NbPerWeek * NbQuartPer</formula2>
    </dataValidation>
    <dataValidation type="whole" errorStyle="warning" operator="greaterThan" allowBlank="1" showInputMessage="1" showErrorMessage="1" errorTitle="Durée en 1/3 de période" error="Le nombre doit être de type entier" sqref="B213:B222 F22:F29 B17:B26 B199:B208 B31:B40 B45:B54 B59:B68 B73:B82 B87:B96 B101:B110 B115:B124 B129:B138 B143:B152 B157:B166 B171:B180 B185:B194 B3:B12">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achievementWeek</vt:lpstr>
      <vt:lpstr>JNLTRAV</vt:lpstr>
      <vt:lpstr>Planning</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Théo Di Paola</dc:creator>
  <cp:lastModifiedBy>Jonathan Letourneur</cp:lastModifiedBy>
  <cp:lastPrinted>2013-08-29T11:33:15Z</cp:lastPrinted>
  <dcterms:created xsi:type="dcterms:W3CDTF">1996-10-21T11:03:58Z</dcterms:created>
  <dcterms:modified xsi:type="dcterms:W3CDTF">2020-01-06T14:52:31Z</dcterms:modified>
</cp:coreProperties>
</file>